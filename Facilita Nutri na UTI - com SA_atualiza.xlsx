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Indice" sheetId="1" state="visible" r:id="rId3"/>
    <sheet name="Estimativas Antropométricas" sheetId="2" state="visible" r:id="rId4"/>
    <sheet name="Necessidades nutricionais" sheetId="3" state="visible" r:id="rId5"/>
    <sheet name="Cálculos dietas_Contínuo" sheetId="4" state="visible" r:id="rId6"/>
    <sheet name="Cálculos dietas_Intermitente" sheetId="5" state="visible" r:id="rId7"/>
    <sheet name="TNE Sistema aberto" sheetId="6" state="visible" r:id="rId8"/>
    <sheet name="Hidratação" sheetId="7" state="visible" r:id="rId9"/>
    <sheet name="Cálculos" sheetId="8" state="visible" r:id="rId10"/>
    <sheet name="Suplementos" sheetId="9" state="visible" r:id="rId11"/>
    <sheet name="Dietas consulta" sheetId="10" state="visible" r:id="rId12"/>
    <sheet name="Controle Ingestão" sheetId="11" state="visible" r:id="rId13"/>
    <sheet name="Prescr x Inf" sheetId="12" state="visible" r:id="rId14"/>
    <sheet name="Acomp" sheetId="13" state="visible" r:id="rId15"/>
    <sheet name="Paciente" sheetId="14" state="visible" r:id="rId16"/>
    <sheet name="Siglário" sheetId="15" state="visible" r:id="rId17"/>
  </sheets>
  <definedNames>
    <definedName function="false" hidden="true" localSheetId="3" name="_xlnm._FilterDatabase" vbProcedure="false">'Cálculos dietas_Contínuo'!$A$1:$A$51</definedName>
    <definedName function="false" hidden="true" localSheetId="4" name="_xlnm._FilterDatabase" vbProcedure="false">'Cálculos dietas_Intermitente'!$A$1:$A$51</definedName>
    <definedName function="false" hidden="true" localSheetId="1" name="_xlnm._FilterDatabase" vbProcedure="false">'Estimativas Antropométricas'!$G$13:$G$22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<sst xmlns="http://schemas.openxmlformats.org/spreadsheetml/2006/main" count="1783" uniqueCount="444">
  <si>
    <t xml:space="preserve">PESO IDEAL</t>
  </si>
  <si>
    <t xml:space="preserve">CB</t>
  </si>
  <si>
    <t xml:space="preserve">ALTURA</t>
  </si>
  <si>
    <t xml:space="preserve">AJ</t>
  </si>
  <si>
    <t xml:space="preserve">Idade</t>
  </si>
  <si>
    <t xml:space="preserve">HOMEM IMC 22</t>
  </si>
  <si>
    <t xml:space="preserve">CP</t>
  </si>
  <si>
    <t xml:space="preserve">MULHER IMC 20,8</t>
  </si>
  <si>
    <t xml:space="preserve">CC</t>
  </si>
  <si>
    <t xml:space="preserve">IMC 25</t>
  </si>
  <si>
    <t xml:space="preserve">CA</t>
  </si>
  <si>
    <t xml:space="preserve">Gênero</t>
  </si>
  <si>
    <t xml:space="preserve">ALTURA ESTIMADA</t>
  </si>
  <si>
    <t xml:space="preserve">(Chumlea, 85)</t>
  </si>
  <si>
    <t xml:space="preserve">HOMEM</t>
  </si>
  <si>
    <t xml:space="preserve">Peso Ajustado</t>
  </si>
  <si>
    <t xml:space="preserve">MULHER</t>
  </si>
  <si>
    <t xml:space="preserve">Peso atual</t>
  </si>
  <si>
    <t xml:space="preserve">insira o peso atual que vc quer utilizar</t>
  </si>
  <si>
    <t xml:space="preserve">Peso ideal</t>
  </si>
  <si>
    <t xml:space="preserve">insira o peso ideal que vc quer utilizar</t>
  </si>
  <si>
    <t xml:space="preserve">PESO ESTIMADO</t>
  </si>
  <si>
    <t xml:space="preserve">(Chumlea, 88)</t>
  </si>
  <si>
    <t xml:space="preserve">%Adequação CB</t>
  </si>
  <si>
    <t xml:space="preserve">Classificação %CB</t>
  </si>
  <si>
    <t xml:space="preserve">HOMEM BRANCO 19-59 ANOS</t>
  </si>
  <si>
    <t xml:space="preserve">Percentil 50 CB</t>
  </si>
  <si>
    <t xml:space="preserve">P50 Homens</t>
  </si>
  <si>
    <t xml:space="preserve">P50 Mulheres</t>
  </si>
  <si>
    <t xml:space="preserve">Desn Grave</t>
  </si>
  <si>
    <t xml:space="preserve">&lt;70%</t>
  </si>
  <si>
    <t xml:space="preserve">HOMEM BRANCO &gt;60 ANOS</t>
  </si>
  <si>
    <t xml:space="preserve">18-18,9 anos</t>
  </si>
  <si>
    <t xml:space="preserve">Desn Mod</t>
  </si>
  <si>
    <t xml:space="preserve">70-80%</t>
  </si>
  <si>
    <t xml:space="preserve">HOMEM NEGRO 19-59 ANOS</t>
  </si>
  <si>
    <t xml:space="preserve">19 - 19,9 anos</t>
  </si>
  <si>
    <t xml:space="preserve">Desn Leve</t>
  </si>
  <si>
    <t xml:space="preserve">80-90%</t>
  </si>
  <si>
    <t xml:space="preserve">HOMEM NEGRO &gt;60 ANOS</t>
  </si>
  <si>
    <t xml:space="preserve">20- 29,9 anos</t>
  </si>
  <si>
    <t xml:space="preserve">Eutrofia</t>
  </si>
  <si>
    <t xml:space="preserve">90-110%</t>
  </si>
  <si>
    <t xml:space="preserve">MULHER BRANCA 19-59 ANOS</t>
  </si>
  <si>
    <t xml:space="preserve">30-39,9 anos</t>
  </si>
  <si>
    <t xml:space="preserve">Sobrepeso</t>
  </si>
  <si>
    <t xml:space="preserve">110-120%</t>
  </si>
  <si>
    <t xml:space="preserve">MULHER BRANCA  &gt;60 ANOS</t>
  </si>
  <si>
    <t xml:space="preserve">40-49,9 anos</t>
  </si>
  <si>
    <t xml:space="preserve">Obesidade</t>
  </si>
  <si>
    <t xml:space="preserve">&gt;120%</t>
  </si>
  <si>
    <t xml:space="preserve">MULHER NEGRA 19-59 ANOS</t>
  </si>
  <si>
    <t xml:space="preserve">50-59,9 anos</t>
  </si>
  <si>
    <t xml:space="preserve">MULHER NEGRA &gt;60 ANOS</t>
  </si>
  <si>
    <t xml:space="preserve">60-69,9 anos</t>
  </si>
  <si>
    <t xml:space="preserve">70-79,9 anos</t>
  </si>
  <si>
    <t xml:space="preserve">80-90,9 anos</t>
  </si>
  <si>
    <t xml:space="preserve">(Jung, 2004)</t>
  </si>
  <si>
    <t xml:space="preserve">CB medida</t>
  </si>
  <si>
    <t xml:space="preserve">CB P50</t>
  </si>
  <si>
    <t xml:space="preserve">% Adequação</t>
  </si>
  <si>
    <t xml:space="preserve">(Rabito, 2008)</t>
  </si>
  <si>
    <t xml:space="preserve">CP medida</t>
  </si>
  <si>
    <t xml:space="preserve">(Barbosa-Silva, 2016)</t>
  </si>
  <si>
    <t xml:space="preserve">Homem: </t>
  </si>
  <si>
    <t xml:space="preserve">Se &lt;34cm - indicativo de depleção muscular</t>
  </si>
  <si>
    <t xml:space="preserve">Mulher: </t>
  </si>
  <si>
    <t xml:space="preserve">Se &lt;33cm - indicativo de depleção muscular</t>
  </si>
  <si>
    <t xml:space="preserve">% Perda de Peso (PP)</t>
  </si>
  <si>
    <t xml:space="preserve">Peso usual</t>
  </si>
  <si>
    <t xml:space="preserve">Amputados</t>
  </si>
  <si>
    <t xml:space="preserve">% estimado</t>
  </si>
  <si>
    <t xml:space="preserve">Peso corrigido amputado</t>
  </si>
  <si>
    <t xml:space="preserve">Mão</t>
  </si>
  <si>
    <t xml:space="preserve">Peso pré amputação</t>
  </si>
  <si>
    <t xml:space="preserve">Classificação PP</t>
  </si>
  <si>
    <t xml:space="preserve">Moderada</t>
  </si>
  <si>
    <t xml:space="preserve">Grave</t>
  </si>
  <si>
    <t xml:space="preserve">Antebraço</t>
  </si>
  <si>
    <t xml:space="preserve">% do membro</t>
  </si>
  <si>
    <t xml:space="preserve">1 SEMANA</t>
  </si>
  <si>
    <t xml:space="preserve">1-2%</t>
  </si>
  <si>
    <t xml:space="preserve">≥2%</t>
  </si>
  <si>
    <t xml:space="preserve">Antebraço + mão</t>
  </si>
  <si>
    <t xml:space="preserve">1 MÊS</t>
  </si>
  <si>
    <t xml:space="preserve">&lt;5%</t>
  </si>
  <si>
    <t xml:space="preserve">≥5%</t>
  </si>
  <si>
    <t xml:space="preserve">Braço</t>
  </si>
  <si>
    <t xml:space="preserve">3 MESES</t>
  </si>
  <si>
    <t xml:space="preserve">&lt;7,5%</t>
  </si>
  <si>
    <t xml:space="preserve">≥7,5%</t>
  </si>
  <si>
    <t xml:space="preserve">Membro superior</t>
  </si>
  <si>
    <t xml:space="preserve">6 MESES</t>
  </si>
  <si>
    <t xml:space="preserve">&lt;10%</t>
  </si>
  <si>
    <t xml:space="preserve">≥10%</t>
  </si>
  <si>
    <t xml:space="preserve">Pé</t>
  </si>
  <si>
    <t xml:space="preserve">(Blackburn, 1977)</t>
  </si>
  <si>
    <t xml:space="preserve">Perna </t>
  </si>
  <si>
    <t xml:space="preserve">Membro inferior</t>
  </si>
  <si>
    <t xml:space="preserve">Classificação IMC</t>
  </si>
  <si>
    <t xml:space="preserve">OMS, 1997</t>
  </si>
  <si>
    <t xml:space="preserve">OPAS, 2002</t>
  </si>
  <si>
    <t xml:space="preserve">(Osterkamp, 1995)</t>
  </si>
  <si>
    <t xml:space="preserve">Desnutrição</t>
  </si>
  <si>
    <t xml:space="preserve">&lt;18,5</t>
  </si>
  <si>
    <t xml:space="preserve">&lt;23</t>
  </si>
  <si>
    <t xml:space="preserve">18,5 a 24,9</t>
  </si>
  <si>
    <t xml:space="preserve">23 a 28</t>
  </si>
  <si>
    <t xml:space="preserve">&gt;25 &lt;30</t>
  </si>
  <si>
    <t xml:space="preserve">28 - 30</t>
  </si>
  <si>
    <t xml:space="preserve">Obesidade Grau I</t>
  </si>
  <si>
    <t xml:space="preserve">&gt;30 a 34,9</t>
  </si>
  <si>
    <t xml:space="preserve">&gt;30</t>
  </si>
  <si>
    <t xml:space="preserve">Obesidade Grau II</t>
  </si>
  <si>
    <t xml:space="preserve">35 - 39,9</t>
  </si>
  <si>
    <t xml:space="preserve">Obesidade Grau III</t>
  </si>
  <si>
    <t xml:space="preserve">&gt;40</t>
  </si>
  <si>
    <t xml:space="preserve">IMC</t>
  </si>
  <si>
    <t xml:space="preserve">Peso:</t>
  </si>
  <si>
    <t xml:space="preserve">Altura:</t>
  </si>
  <si>
    <t xml:space="preserve">Necessidades Nutricionais</t>
  </si>
  <si>
    <t xml:space="preserve">Fase aguda</t>
  </si>
  <si>
    <t xml:space="preserve">Reabilitação </t>
  </si>
  <si>
    <t xml:space="preserve">Peso </t>
  </si>
  <si>
    <t xml:space="preserve">Calorias</t>
  </si>
  <si>
    <t xml:space="preserve">15 a 20</t>
  </si>
  <si>
    <t xml:space="preserve">25 a 30</t>
  </si>
  <si>
    <t xml:space="preserve">(Minimo)</t>
  </si>
  <si>
    <t xml:space="preserve">OU utilize a fórmula abaixo para necessidades personalizadas</t>
  </si>
  <si>
    <t xml:space="preserve">(Máximo)</t>
  </si>
  <si>
    <t xml:space="preserve">Kcal/kg</t>
  </si>
  <si>
    <t xml:space="preserve">(necessidade desejada)</t>
  </si>
  <si>
    <t xml:space="preserve">Proteinas</t>
  </si>
  <si>
    <t xml:space="preserve">1,2 a 1,5</t>
  </si>
  <si>
    <t xml:space="preserve">&gt;1,5</t>
  </si>
  <si>
    <t xml:space="preserve">PTN/kg</t>
  </si>
  <si>
    <t xml:space="preserve">KCAL TOTAL</t>
  </si>
  <si>
    <t xml:space="preserve">Se HD inter</t>
  </si>
  <si>
    <t xml:space="preserve">PTN TOTAL</t>
  </si>
  <si>
    <t xml:space="preserve">Se HD cont</t>
  </si>
  <si>
    <t xml:space="preserve">Obeso</t>
  </si>
  <si>
    <t xml:space="preserve">IMC&gt;30</t>
  </si>
  <si>
    <t xml:space="preserve">IMC&gt;40</t>
  </si>
  <si>
    <t xml:space="preserve">11-14kcal/PA</t>
  </si>
  <si>
    <t xml:space="preserve">22-25kcal/PI</t>
  </si>
  <si>
    <t xml:space="preserve">Mínimo </t>
  </si>
  <si>
    <t xml:space="preserve">Máximo</t>
  </si>
  <si>
    <t xml:space="preserve">IMC &gt;50</t>
  </si>
  <si>
    <t xml:space="preserve">Dieta</t>
  </si>
  <si>
    <t xml:space="preserve">Densidade</t>
  </si>
  <si>
    <t xml:space="preserve">PTN</t>
  </si>
  <si>
    <t xml:space="preserve">Volume ml/h</t>
  </si>
  <si>
    <t xml:space="preserve">VT</t>
  </si>
  <si>
    <t xml:space="preserve">KCAL</t>
  </si>
  <si>
    <t xml:space="preserve">kcal/kg</t>
  </si>
  <si>
    <t xml:space="preserve">ptn/kg</t>
  </si>
  <si>
    <t xml:space="preserve">% VCT</t>
  </si>
  <si>
    <t xml:space="preserve">% PTN</t>
  </si>
  <si>
    <t xml:space="preserve">VOLUME PLENO</t>
  </si>
  <si>
    <t xml:space="preserve">PTN PLENO</t>
  </si>
  <si>
    <t xml:space="preserve">PTN Suplementar</t>
  </si>
  <si>
    <t xml:space="preserve">UTI = 22H</t>
  </si>
  <si>
    <t xml:space="preserve">Novasource Senior</t>
  </si>
  <si>
    <t xml:space="preserve">nº horas</t>
  </si>
  <si>
    <t xml:space="preserve">Fresubin Original</t>
  </si>
  <si>
    <t xml:space="preserve">Fresubin Original Fibre</t>
  </si>
  <si>
    <t xml:space="preserve">VCT:</t>
  </si>
  <si>
    <t xml:space="preserve">Fresubin Soya Fibre</t>
  </si>
  <si>
    <t xml:space="preserve">PTN:</t>
  </si>
  <si>
    <t xml:space="preserve">Fresubin 1.2 HP Fibre</t>
  </si>
  <si>
    <t xml:space="preserve">Nutrison 1.0</t>
  </si>
  <si>
    <t xml:space="preserve">Nutri enteral Soya</t>
  </si>
  <si>
    <t xml:space="preserve">Modelo de progressão </t>
  </si>
  <si>
    <t xml:space="preserve">Nutrison Multifiber</t>
  </si>
  <si>
    <t xml:space="preserve">Nutri enteral Soya Fiber </t>
  </si>
  <si>
    <t xml:space="preserve">Kcal/d</t>
  </si>
  <si>
    <t xml:space="preserve">Volume (1,5kcal)</t>
  </si>
  <si>
    <t xml:space="preserve">Volume (1,2kcal)</t>
  </si>
  <si>
    <t xml:space="preserve">Volume (1,0kcal)</t>
  </si>
  <si>
    <t xml:space="preserve">Isosource Mix</t>
  </si>
  <si>
    <t xml:space="preserve">1º dia 25%</t>
  </si>
  <si>
    <t xml:space="preserve">Isosource Soya</t>
  </si>
  <si>
    <t xml:space="preserve">2º dia 50%</t>
  </si>
  <si>
    <t xml:space="preserve">Isosource Soya Fiber</t>
  </si>
  <si>
    <t xml:space="preserve">3º dia 75%</t>
  </si>
  <si>
    <t xml:space="preserve">Trophic Basic</t>
  </si>
  <si>
    <t xml:space="preserve">4º dia 100%</t>
  </si>
  <si>
    <t xml:space="preserve">Trophic Fiber</t>
  </si>
  <si>
    <t xml:space="preserve">Trophic Soya</t>
  </si>
  <si>
    <t xml:space="preserve">Fresubin Energy Fibre</t>
  </si>
  <si>
    <t xml:space="preserve">PTN SUPLEMENTAR (em g faltantes)</t>
  </si>
  <si>
    <t xml:space="preserve">** iniciar o módulo proteina a partir do 4º dia</t>
  </si>
  <si>
    <t xml:space="preserve">Fresubin HP Energy</t>
  </si>
  <si>
    <t xml:space="preserve">Nutren Just Protein</t>
  </si>
  <si>
    <t xml:space="preserve">kcal</t>
  </si>
  <si>
    <t xml:space="preserve">Isosource 1.5</t>
  </si>
  <si>
    <t xml:space="preserve">Fresubin Protein Powder</t>
  </si>
  <si>
    <t xml:space="preserve">Novasource Hi Protein</t>
  </si>
  <si>
    <t xml:space="preserve">Nutridrink Protein</t>
  </si>
  <si>
    <t xml:space="preserve">Nutrison Energy</t>
  </si>
  <si>
    <t xml:space="preserve">Nutrison Energy Multifiber</t>
  </si>
  <si>
    <t xml:space="preserve">Nutri Enteral 1.5</t>
  </si>
  <si>
    <t xml:space="preserve">Isosource 1.5 </t>
  </si>
  <si>
    <t xml:space="preserve">Trophic 1.5</t>
  </si>
  <si>
    <t xml:space="preserve">Trophic EP</t>
  </si>
  <si>
    <t xml:space="preserve">Trophic 1.5 Soya</t>
  </si>
  <si>
    <t xml:space="preserve">Fresubin 2kcal HP (500ml)</t>
  </si>
  <si>
    <t xml:space="preserve">Fresubin 2kcal HP Fibre(500ml)</t>
  </si>
  <si>
    <t xml:space="preserve">Diben</t>
  </si>
  <si>
    <t xml:space="preserve">Diben HP</t>
  </si>
  <si>
    <t xml:space="preserve">Novasource GC</t>
  </si>
  <si>
    <t xml:space="preserve">Novasource GC HP</t>
  </si>
  <si>
    <t xml:space="preserve">Novasource GC 1.5</t>
  </si>
  <si>
    <t xml:space="preserve">Diamax</t>
  </si>
  <si>
    <t xml:space="preserve">Novasource Ren</t>
  </si>
  <si>
    <t xml:space="preserve">Novasource GI control</t>
  </si>
  <si>
    <t xml:space="preserve">Novasource Proline</t>
  </si>
  <si>
    <t xml:space="preserve">Reconvan</t>
  </si>
  <si>
    <t xml:space="preserve">Fresubin Hepa</t>
  </si>
  <si>
    <t xml:space="preserve">Fresubin Lipid</t>
  </si>
  <si>
    <t xml:space="preserve">Impact 1.5</t>
  </si>
  <si>
    <t xml:space="preserve">Impact </t>
  </si>
  <si>
    <t xml:space="preserve">Peptamen HN</t>
  </si>
  <si>
    <t xml:space="preserve">Peptamen pó</t>
  </si>
  <si>
    <t xml:space="preserve">Peptamen Intense</t>
  </si>
  <si>
    <t xml:space="preserve">Peptamen 1.5</t>
  </si>
  <si>
    <t xml:space="preserve">Survimed OPD</t>
  </si>
  <si>
    <t xml:space="preserve">Survimed OPD HN</t>
  </si>
  <si>
    <t xml:space="preserve">Peptimax pó</t>
  </si>
  <si>
    <t xml:space="preserve">Nutrison Advanced Peptisorb</t>
  </si>
  <si>
    <t xml:space="preserve">Volume do horário</t>
  </si>
  <si>
    <t xml:space="preserve">nº vezes</t>
  </si>
  <si>
    <t xml:space="preserve">Modelo de progressão (volume de cada horário)</t>
  </si>
  <si>
    <t xml:space="preserve">cho</t>
  </si>
  <si>
    <t xml:space="preserve">ptn</t>
  </si>
  <si>
    <t xml:space="preserve">lip</t>
  </si>
  <si>
    <t xml:space="preserve">Trophic basic pó (1 medida - 7,8g)</t>
  </si>
  <si>
    <t xml:space="preserve">VET</t>
  </si>
  <si>
    <t xml:space="preserve">15% PTN</t>
  </si>
  <si>
    <t xml:space="preserve">20% PTN</t>
  </si>
  <si>
    <t xml:space="preserve">Carbodex (1 medida - 10g)</t>
  </si>
  <si>
    <t xml:space="preserve">Albumix power (1 medidor - 20g)</t>
  </si>
  <si>
    <t xml:space="preserve">Oleo de soja (1 colher sopa 13ml)</t>
  </si>
  <si>
    <t xml:space="preserve">Peso</t>
  </si>
  <si>
    <t xml:space="preserve">Dieta </t>
  </si>
  <si>
    <t xml:space="preserve">dose</t>
  </si>
  <si>
    <t xml:space="preserve">CHO</t>
  </si>
  <si>
    <t xml:space="preserve">LIP </t>
  </si>
  <si>
    <t xml:space="preserve">Ptn/kg</t>
  </si>
  <si>
    <t xml:space="preserve">% CHO</t>
  </si>
  <si>
    <t xml:space="preserve">%LIP</t>
  </si>
  <si>
    <t xml:space="preserve">Trophic - nº doses</t>
  </si>
  <si>
    <t xml:space="preserve">Carbodex  - nº doses</t>
  </si>
  <si>
    <t xml:space="preserve">Albumix - nº medidores</t>
  </si>
  <si>
    <t xml:space="preserve">óleo 1 colher sopa</t>
  </si>
  <si>
    <t xml:space="preserve">Total em kcal </t>
  </si>
  <si>
    <t xml:space="preserve">água </t>
  </si>
  <si>
    <t xml:space="preserve">4 Doses de em ml</t>
  </si>
  <si>
    <t xml:space="preserve">Lata Trophic</t>
  </si>
  <si>
    <t xml:space="preserve">Lata Cabodex</t>
  </si>
  <si>
    <t xml:space="preserve">Lata Albumix</t>
  </si>
  <si>
    <t xml:space="preserve">óleo de soja</t>
  </si>
  <si>
    <t xml:space="preserve">Receita para cada DOSE</t>
  </si>
  <si>
    <t xml:space="preserve">MEDIDORES</t>
  </si>
  <si>
    <t xml:space="preserve">Trophic</t>
  </si>
  <si>
    <t xml:space="preserve">dosadores</t>
  </si>
  <si>
    <t xml:space="preserve">Carbodex</t>
  </si>
  <si>
    <t xml:space="preserve">Albumix</t>
  </si>
  <si>
    <t xml:space="preserve">g</t>
  </si>
  <si>
    <t xml:space="preserve">óleo</t>
  </si>
  <si>
    <t xml:space="preserve">ml</t>
  </si>
  <si>
    <t xml:space="preserve">HIDRATAÇÃO</t>
  </si>
  <si>
    <t xml:space="preserve">Volume de dieta/dia </t>
  </si>
  <si>
    <t xml:space="preserve">25 a 30ml/Kg/dia </t>
  </si>
  <si>
    <t xml:space="preserve">Mínimo</t>
  </si>
  <si>
    <t xml:space="preserve">Dieta 2,0kcal</t>
  </si>
  <si>
    <t xml:space="preserve">Ideal</t>
  </si>
  <si>
    <t xml:space="preserve">Dieta 1,5kcal</t>
  </si>
  <si>
    <t xml:space="preserve">Dieta 1,2kcal</t>
  </si>
  <si>
    <t xml:space="preserve">Dieta 1,0kcal</t>
  </si>
  <si>
    <t xml:space="preserve">Água via TNE</t>
  </si>
  <si>
    <t xml:space="preserve">Oferta água extra TNE</t>
  </si>
  <si>
    <t xml:space="preserve">**dividir este volume mínimo ou ideal no nº de vezes que deseja ofertar</t>
  </si>
  <si>
    <t xml:space="preserve">4x/dia</t>
  </si>
  <si>
    <t xml:space="preserve">5x/dia</t>
  </si>
  <si>
    <t xml:space="preserve">6x/dia</t>
  </si>
  <si>
    <t xml:space="preserve">8x</t>
  </si>
  <si>
    <t xml:space="preserve">TNE S.A.</t>
  </si>
  <si>
    <t xml:space="preserve">Calculo Noradrenalina</t>
  </si>
  <si>
    <t xml:space="preserve">*considerando diluição em 250ml soro</t>
  </si>
  <si>
    <t xml:space="preserve">Noradrenalina</t>
  </si>
  <si>
    <t xml:space="preserve">mcg/kg/min</t>
  </si>
  <si>
    <t xml:space="preserve">simples</t>
  </si>
  <si>
    <t xml:space="preserve">*considerando 2 ampolas de Nora</t>
  </si>
  <si>
    <t xml:space="preserve">mL de nora</t>
  </si>
  <si>
    <t xml:space="preserve">concentrada</t>
  </si>
  <si>
    <t xml:space="preserve">*considerando 4 ampolas de Nora</t>
  </si>
  <si>
    <t xml:space="preserve">nº ampolas diluidas</t>
  </si>
  <si>
    <t xml:space="preserve">Quantidade de soro </t>
  </si>
  <si>
    <t xml:space="preserve">Peso(kg)</t>
  </si>
  <si>
    <t xml:space="preserve">Balanço nitrogenado</t>
  </si>
  <si>
    <t xml:space="preserve">Ptn(g) ingerida 24h</t>
  </si>
  <si>
    <t xml:space="preserve">Ureia urinária 24h</t>
  </si>
  <si>
    <t xml:space="preserve">Balanço total</t>
  </si>
  <si>
    <t xml:space="preserve">Calorias Propofol</t>
  </si>
  <si>
    <t xml:space="preserve">Calorias totais</t>
  </si>
  <si>
    <t xml:space="preserve">Suplemento</t>
  </si>
  <si>
    <t xml:space="preserve">QTD (g)</t>
  </si>
  <si>
    <t xml:space="preserve">AÇ</t>
  </si>
  <si>
    <t xml:space="preserve">LIP</t>
  </si>
  <si>
    <t xml:space="preserve">Sódio</t>
  </si>
  <si>
    <t xml:space="preserve">Potássio</t>
  </si>
  <si>
    <t xml:space="preserve">Fósforo</t>
  </si>
  <si>
    <t xml:space="preserve">Ferro </t>
  </si>
  <si>
    <t xml:space="preserve">Fibras</t>
  </si>
  <si>
    <t xml:space="preserve">Osmolaridade</t>
  </si>
  <si>
    <t xml:space="preserve">NI</t>
  </si>
  <si>
    <t xml:space="preserve">*auxiliar no controle glicêmico</t>
  </si>
  <si>
    <t xml:space="preserve">Energyzip</t>
  </si>
  <si>
    <t xml:space="preserve">Fresubin 2kcal Neutro</t>
  </si>
  <si>
    <t xml:space="preserve">*presença de w3,w6</t>
  </si>
  <si>
    <t xml:space="preserve">Fresubin 3.2kcal </t>
  </si>
  <si>
    <t xml:space="preserve">Fresubin Energy</t>
  </si>
  <si>
    <t xml:space="preserve">NI= Não informado</t>
  </si>
  <si>
    <t xml:space="preserve">Fresubin Jucy</t>
  </si>
  <si>
    <t xml:space="preserve">Fresubin Protein Energy</t>
  </si>
  <si>
    <t xml:space="preserve">Glucerna 1.5</t>
  </si>
  <si>
    <t xml:space="preserve">Impact</t>
  </si>
  <si>
    <t xml:space="preserve">*presença de arginina, w3,w6, nucleotídeos</t>
  </si>
  <si>
    <t xml:space="preserve">Just Protein </t>
  </si>
  <si>
    <t xml:space="preserve">*presença de arginina, w3,w6, prolina, colina</t>
  </si>
  <si>
    <t xml:space="preserve">*presença de carnitina, arginina, w3,w6, taurina</t>
  </si>
  <si>
    <t xml:space="preserve">Novasource Senior pó s/sabor</t>
  </si>
  <si>
    <t xml:space="preserve">3 Colheres sopa = 27,5g</t>
  </si>
  <si>
    <t xml:space="preserve">Novasourse Senior</t>
  </si>
  <si>
    <t xml:space="preserve">Nutren 1.5</t>
  </si>
  <si>
    <t xml:space="preserve">Nutren 1.5 Protein</t>
  </si>
  <si>
    <t xml:space="preserve">Nutren 2.0</t>
  </si>
  <si>
    <t xml:space="preserve">Nutren Control</t>
  </si>
  <si>
    <t xml:space="preserve">Nutren Forfity Pó</t>
  </si>
  <si>
    <t xml:space="preserve">(30g + 90ml água = 100ml preparação)</t>
  </si>
  <si>
    <t xml:space="preserve">Nutren Fresh Chá de limão</t>
  </si>
  <si>
    <t xml:space="preserve">Nutren Ultra</t>
  </si>
  <si>
    <t xml:space="preserve">Nutri enteral 1.5</t>
  </si>
  <si>
    <t xml:space="preserve">Nutridrink</t>
  </si>
  <si>
    <t xml:space="preserve">Módulos proteicos</t>
  </si>
  <si>
    <t xml:space="preserve">Fórmula</t>
  </si>
  <si>
    <t xml:space="preserve">K</t>
  </si>
  <si>
    <t xml:space="preserve">Osmol.</t>
  </si>
  <si>
    <t xml:space="preserve">Média 5 dias: </t>
  </si>
  <si>
    <t xml:space="preserve">DIA 1</t>
  </si>
  <si>
    <t xml:space="preserve">DIA 2</t>
  </si>
  <si>
    <t xml:space="preserve">DIA 3</t>
  </si>
  <si>
    <t xml:space="preserve">DIA 4</t>
  </si>
  <si>
    <t xml:space="preserve">DIA 5</t>
  </si>
  <si>
    <t xml:space="preserve">% de Consumo</t>
  </si>
  <si>
    <t xml:space="preserve">Café da manhã</t>
  </si>
  <si>
    <t xml:space="preserve">Lanche da manhã</t>
  </si>
  <si>
    <t xml:space="preserve">Almoço</t>
  </si>
  <si>
    <t xml:space="preserve">Lanche da tarde</t>
  </si>
  <si>
    <t xml:space="preserve">Jantar </t>
  </si>
  <si>
    <t xml:space="preserve">Ceia</t>
  </si>
  <si>
    <t xml:space="preserve">Média</t>
  </si>
  <si>
    <t xml:space="preserve">Prescrito x Infundido - TNE</t>
  </si>
  <si>
    <t xml:space="preserve">Paciente</t>
  </si>
  <si>
    <t xml:space="preserve">Identificação</t>
  </si>
  <si>
    <t xml:space="preserve">Vol. Recebido 24h</t>
  </si>
  <si>
    <t xml:space="preserve">Vol. Prescrito</t>
  </si>
  <si>
    <t xml:space="preserve">% Recebido</t>
  </si>
  <si>
    <t xml:space="preserve">João da Silva</t>
  </si>
  <si>
    <t xml:space="preserve">Acompanhamento Antropométrico</t>
  </si>
  <si>
    <t xml:space="preserve">DATA</t>
  </si>
  <si>
    <t xml:space="preserve">DCT</t>
  </si>
  <si>
    <t xml:space="preserve">SEGUNDA</t>
  </si>
  <si>
    <t xml:space="preserve">TERÇA</t>
  </si>
  <si>
    <t xml:space="preserve">QUARTA</t>
  </si>
  <si>
    <t xml:space="preserve">QUINTA</t>
  </si>
  <si>
    <t xml:space="preserve">SEXTA</t>
  </si>
  <si>
    <t xml:space="preserve">Codigo</t>
  </si>
  <si>
    <t xml:space="preserve">HGT's:</t>
  </si>
  <si>
    <t xml:space="preserve">VM/ O2/ AA</t>
  </si>
  <si>
    <t xml:space="preserve">Data Int</t>
  </si>
  <si>
    <t xml:space="preserve">P:</t>
  </si>
  <si>
    <t xml:space="preserve">UTI</t>
  </si>
  <si>
    <t xml:space="preserve">Mg</t>
  </si>
  <si>
    <t xml:space="preserve">Na</t>
  </si>
  <si>
    <t xml:space="preserve">Altura</t>
  </si>
  <si>
    <t xml:space="preserve">Lact</t>
  </si>
  <si>
    <t xml:space="preserve">PCR</t>
  </si>
  <si>
    <t xml:space="preserve">pH</t>
  </si>
  <si>
    <t xml:space="preserve">pCO2</t>
  </si>
  <si>
    <t xml:space="preserve">HCO3</t>
  </si>
  <si>
    <t xml:space="preserve">NC</t>
  </si>
  <si>
    <t xml:space="preserve">BH</t>
  </si>
  <si>
    <t xml:space="preserve">NP</t>
  </si>
  <si>
    <t xml:space="preserve">Diurese</t>
  </si>
  <si>
    <t xml:space="preserve">Evacuação</t>
  </si>
  <si>
    <t xml:space="preserve">% recebido NE</t>
  </si>
  <si>
    <t xml:space="preserve">AA</t>
  </si>
  <si>
    <t xml:space="preserve">Ar ambiente</t>
  </si>
  <si>
    <t xml:space="preserve">Lipídeos</t>
  </si>
  <si>
    <t xml:space="preserve">açúcar</t>
  </si>
  <si>
    <t xml:space="preserve">Magnésio</t>
  </si>
  <si>
    <t xml:space="preserve">Altura do joelho</t>
  </si>
  <si>
    <t xml:space="preserve">Balanço hídrico</t>
  </si>
  <si>
    <t xml:space="preserve">Necessidades calóricas</t>
  </si>
  <si>
    <t xml:space="preserve">circunferência abdominal</t>
  </si>
  <si>
    <t xml:space="preserve">circunferencia do braco</t>
  </si>
  <si>
    <t xml:space="preserve">NE</t>
  </si>
  <si>
    <t xml:space="preserve">Nutrição enteral</t>
  </si>
  <si>
    <t xml:space="preserve">circunferência da coxa</t>
  </si>
  <si>
    <t xml:space="preserve">NP </t>
  </si>
  <si>
    <t xml:space="preserve">Necessidades proteicas</t>
  </si>
  <si>
    <t xml:space="preserve">carboidratos</t>
  </si>
  <si>
    <t xml:space="preserve">Cont</t>
  </si>
  <si>
    <t xml:space="preserve">Contínua</t>
  </si>
  <si>
    <t xml:space="preserve">O2</t>
  </si>
  <si>
    <t xml:space="preserve">Oxigênio</t>
  </si>
  <si>
    <t xml:space="preserve">circunferencia da panturrilha</t>
  </si>
  <si>
    <t xml:space="preserve">Osmolaridades</t>
  </si>
  <si>
    <t xml:space="preserve">Desn</t>
  </si>
  <si>
    <t xml:space="preserve">P</t>
  </si>
  <si>
    <t xml:space="preserve">HD</t>
  </si>
  <si>
    <t xml:space="preserve">Hemodiálise</t>
  </si>
  <si>
    <t xml:space="preserve">P50</t>
  </si>
  <si>
    <t xml:space="preserve">Percenntil 50</t>
  </si>
  <si>
    <t xml:space="preserve">HGT's</t>
  </si>
  <si>
    <t xml:space="preserve">Glicemia</t>
  </si>
  <si>
    <t xml:space="preserve">Proteína C- reativa</t>
  </si>
  <si>
    <t xml:space="preserve">Int</t>
  </si>
  <si>
    <t xml:space="preserve">Internação</t>
  </si>
  <si>
    <t xml:space="preserve">proteinas</t>
  </si>
  <si>
    <t xml:space="preserve">Inter</t>
  </si>
  <si>
    <t xml:space="preserve">Intermitente</t>
  </si>
  <si>
    <t xml:space="preserve">QT</t>
  </si>
  <si>
    <t xml:space="preserve">quantidade</t>
  </si>
  <si>
    <t xml:space="preserve">K </t>
  </si>
  <si>
    <t xml:space="preserve">potássio</t>
  </si>
  <si>
    <t xml:space="preserve">VM</t>
  </si>
  <si>
    <t xml:space="preserve">ventilação mecânica</t>
  </si>
  <si>
    <t xml:space="preserve">Kcal</t>
  </si>
  <si>
    <t xml:space="preserve">Vol</t>
  </si>
  <si>
    <t xml:space="preserve">volume</t>
  </si>
  <si>
    <t xml:space="preserve">Lactato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</si>
</sst>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#,##0.00"/>
    <numFmt numFmtId="167" formatCode="0"/>
    <numFmt numFmtId="168" formatCode="#,##0"/>
    <numFmt numFmtId="169" formatCode="0%"/>
    <numFmt numFmtId="170" formatCode="0.0"/>
    <numFmt numFmtId="171" formatCode="0.000"/>
  </numFmts>
  <fonts count="2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</font>
    <font>
      <b val="true"/>
      <sz val="16"/>
      <color rgb="FF000000"/>
      <name val="Calibri"/>
      <family val="0"/>
    </font>
    <font>
      <b val="true"/>
      <sz val="10"/>
      <color theme="1"/>
      <name val="Arial"/>
      <family val="0"/>
      <charset val="1"/>
    </font>
    <font>
      <sz val="11"/>
      <color rgb="FF9C0006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theme="0"/>
      <name val="Calibri"/>
      <family val="0"/>
      <charset val="1"/>
    </font>
    <font>
      <sz val="11"/>
      <color rgb="FF9C5700"/>
      <name val="Calibri"/>
      <family val="0"/>
      <charset val="1"/>
    </font>
    <font>
      <sz val="11"/>
      <color rgb="FF3F3F76"/>
      <name val="Calibri"/>
      <family val="0"/>
      <charset val="1"/>
    </font>
    <font>
      <sz val="11"/>
      <color rgb="FF006100"/>
      <name val="Calibri"/>
      <family val="0"/>
      <charset val="1"/>
    </font>
    <font>
      <b val="true"/>
      <sz val="11"/>
      <color rgb="FF3F3F3F"/>
      <name val="Calibri"/>
      <family val="0"/>
      <charset val="1"/>
    </font>
    <font>
      <b val="true"/>
      <sz val="11"/>
      <color rgb="FF3F3F76"/>
      <name val="Calibri"/>
      <family val="0"/>
      <charset val="1"/>
    </font>
    <font>
      <b val="true"/>
      <sz val="14"/>
      <color theme="0"/>
      <name val="Calibri"/>
      <family val="0"/>
    </font>
    <font>
      <b val="true"/>
      <sz val="11"/>
      <color rgb="FFFA7D00"/>
      <name val="Calibri"/>
      <family val="0"/>
      <charset val="1"/>
    </font>
    <font>
      <b val="true"/>
      <sz val="11"/>
      <color rgb="FF006100"/>
      <name val="Calibri"/>
      <family val="0"/>
      <charset val="1"/>
    </font>
    <font>
      <b val="true"/>
      <sz val="13"/>
      <color rgb="FF44546A"/>
      <name val="Calibri"/>
      <family val="0"/>
      <charset val="1"/>
    </font>
    <font>
      <sz val="11"/>
      <color rgb="FFFA7D00"/>
      <name val="Calibri"/>
      <family val="0"/>
      <charset val="1"/>
    </font>
    <font>
      <sz val="11"/>
      <color theme="0"/>
      <name val="Calibri"/>
      <family val="0"/>
      <charset val="1"/>
    </font>
    <font>
      <b val="true"/>
      <sz val="11"/>
      <color rgb="FF44546A"/>
      <name val="Calibri"/>
      <family val="0"/>
      <charset val="1"/>
    </font>
    <font>
      <sz val="11"/>
      <color rgb="FFF2F2F2"/>
      <name val="Calibri"/>
      <family val="0"/>
      <charset val="1"/>
    </font>
    <font>
      <i val="true"/>
      <sz val="11"/>
      <color rgb="FF7F7F7F"/>
      <name val="Calibri"/>
      <family val="0"/>
      <charset val="1"/>
    </font>
    <font>
      <b val="true"/>
      <sz val="11"/>
      <color rgb="FF9C5700"/>
      <name val="Calibri"/>
      <family val="0"/>
      <charset val="1"/>
    </font>
    <font>
      <b val="true"/>
      <sz val="15"/>
      <color rgb="FF44546A"/>
      <name val="Calibri"/>
      <family val="0"/>
      <charset val="1"/>
    </font>
    <font>
      <sz val="11"/>
      <color rgb="FF833C0B"/>
      <name val="Calibri"/>
      <family val="0"/>
      <charset val="1"/>
    </font>
  </fonts>
  <fills count="38">
    <fill>
      <patternFill patternType="none"/>
    </fill>
    <fill>
      <patternFill patternType="gray125"/>
    </fill>
    <fill>
      <patternFill patternType="solid">
        <fgColor rgb="FF92D050"/>
        <bgColor rgb="FFA8D08D"/>
      </patternFill>
    </fill>
    <fill>
      <patternFill patternType="solid">
        <fgColor rgb="FFFFCC99"/>
        <bgColor rgb="FFFFC7CE"/>
      </patternFill>
    </fill>
    <fill>
      <patternFill patternType="solid">
        <fgColor rgb="FFFFC7CE"/>
        <bgColor rgb="FFFEB4B4"/>
      </patternFill>
    </fill>
    <fill>
      <patternFill patternType="solid">
        <fgColor rgb="FFFEB4B4"/>
        <bgColor rgb="FFFEAAE0"/>
      </patternFill>
    </fill>
    <fill>
      <patternFill patternType="solid">
        <fgColor rgb="FF9CC2E5"/>
        <bgColor rgb="FFA1B8E1"/>
      </patternFill>
    </fill>
    <fill>
      <patternFill patternType="solid">
        <fgColor rgb="FFCC99FF"/>
        <bgColor rgb="FFE4AAFE"/>
      </patternFill>
    </fill>
    <fill>
      <patternFill patternType="solid">
        <fgColor rgb="FFA5A5A5"/>
        <bgColor rgb="FFB2B2B2"/>
      </patternFill>
    </fill>
    <fill>
      <patternFill patternType="solid">
        <fgColor theme="5"/>
        <bgColor rgb="FFFA7D00"/>
      </patternFill>
    </fill>
    <fill>
      <patternFill patternType="solid">
        <fgColor rgb="FFFF99CC"/>
        <bgColor rgb="FFFEAAE0"/>
      </patternFill>
    </fill>
    <fill>
      <patternFill patternType="solid">
        <fgColor rgb="FFFFEB9C"/>
        <bgColor rgb="FFFFE598"/>
      </patternFill>
    </fill>
    <fill>
      <patternFill patternType="solid">
        <fgColor rgb="FF33CCCC"/>
        <bgColor rgb="FF339966"/>
      </patternFill>
    </fill>
    <fill>
      <patternFill patternType="solid">
        <fgColor rgb="FFC6EFCE"/>
        <bgColor rgb="FFC5E0B3"/>
      </patternFill>
    </fill>
    <fill>
      <patternFill patternType="solid">
        <fgColor rgb="FFFEF2CB"/>
        <bgColor rgb="FFFFFFCC"/>
      </patternFill>
    </fill>
    <fill>
      <patternFill patternType="solid">
        <fgColor rgb="FF339966"/>
        <bgColor rgb="FF70AD47"/>
      </patternFill>
    </fill>
    <fill>
      <patternFill patternType="solid">
        <fgColor rgb="FFCCCCFF"/>
        <bgColor rgb="FFB4C6E7"/>
      </patternFill>
    </fill>
    <fill>
      <patternFill patternType="solid">
        <fgColor rgb="FF9BC1FF"/>
        <bgColor rgb="FF9CC2E5"/>
      </patternFill>
    </fill>
    <fill>
      <patternFill patternType="solid">
        <fgColor rgb="FFFEAAE0"/>
        <bgColor rgb="FFFF99CC"/>
      </patternFill>
    </fill>
    <fill>
      <patternFill patternType="solid">
        <fgColor rgb="FFE2EFD9"/>
        <bgColor rgb="FFECECEC"/>
      </patternFill>
    </fill>
    <fill>
      <patternFill patternType="solid">
        <fgColor rgb="FFF2F2F2"/>
        <bgColor rgb="FFECECEC"/>
      </patternFill>
    </fill>
    <fill>
      <patternFill patternType="solid">
        <fgColor theme="0"/>
        <bgColor rgb="FFF2F2F2"/>
      </patternFill>
    </fill>
    <fill>
      <patternFill patternType="solid">
        <fgColor rgb="FFB4C6E7"/>
        <bgColor rgb="FFADBAFB"/>
      </patternFill>
    </fill>
    <fill>
      <patternFill patternType="solid">
        <fgColor rgb="FFDEEAF6"/>
        <bgColor rgb="FFD9E2F3"/>
      </patternFill>
    </fill>
    <fill>
      <patternFill patternType="solid">
        <fgColor rgb="FFFFFFCC"/>
        <bgColor rgb="FFFEF2CB"/>
      </patternFill>
    </fill>
    <fill>
      <patternFill patternType="solid">
        <fgColor rgb="FFFFFDA9"/>
        <bgColor rgb="FFFFFFCC"/>
      </patternFill>
    </fill>
    <fill>
      <patternFill patternType="solid">
        <fgColor rgb="FFDADADA"/>
        <bgColor rgb="FFD9E2F3"/>
      </patternFill>
    </fill>
    <fill>
      <patternFill patternType="solid">
        <fgColor rgb="FFC8C8C8"/>
        <bgColor rgb="FFC0C0C0"/>
      </patternFill>
    </fill>
    <fill>
      <patternFill patternType="solid">
        <fgColor rgb="FF7B7B7B"/>
        <bgColor rgb="FF7F7F7F"/>
      </patternFill>
    </fill>
    <fill>
      <patternFill patternType="solid">
        <fgColor rgb="FF525252"/>
        <bgColor rgb="FF44546A"/>
      </patternFill>
    </fill>
    <fill>
      <patternFill patternType="solid">
        <fgColor rgb="FFFFD965"/>
        <bgColor rgb="FFFFE598"/>
      </patternFill>
    </fill>
    <fill>
      <patternFill patternType="solid">
        <fgColor theme="9"/>
        <bgColor rgb="FF92D050"/>
      </patternFill>
    </fill>
    <fill>
      <patternFill patternType="solid">
        <fgColor rgb="FFC5E0B3"/>
        <bgColor rgb="FFC6EFCE"/>
      </patternFill>
    </fill>
    <fill>
      <patternFill patternType="solid">
        <fgColor rgb="FFA8D08D"/>
        <bgColor rgb="FF92D050"/>
      </patternFill>
    </fill>
    <fill>
      <patternFill patternType="solid">
        <fgColor theme="4"/>
        <bgColor rgb="FF44546A"/>
      </patternFill>
    </fill>
    <fill>
      <patternFill patternType="solid">
        <fgColor rgb="FFECECEC"/>
        <bgColor rgb="FFF2F2F2"/>
      </patternFill>
    </fill>
    <fill>
      <patternFill patternType="solid">
        <fgColor rgb="FFC0C0C0"/>
        <bgColor rgb="FFC8C8C8"/>
      </patternFill>
    </fill>
    <fill>
      <patternFill patternType="solid">
        <fgColor rgb="FFD9E2F3"/>
        <bgColor rgb="FFDEEAF6"/>
      </patternFill>
    </fill>
  </fills>
  <borders count="37">
    <border diagonalUp="false" diagonalDown="false">
      <left/>
      <right/>
      <top/>
      <bottom/>
      <diagonal/>
    </border>
    <border diagonalUp="false" diagonalDown="false">
      <left/>
      <right style="double">
        <color rgb="FF3F3F3F"/>
      </right>
      <top/>
      <bottom style="double">
        <color rgb="FF3F3F3F"/>
      </bottom>
      <diagonal/>
    </border>
    <border diagonalUp="false" diagonalDown="false">
      <left style="double">
        <color rgb="FF3F3F3F"/>
      </left>
      <right/>
      <top/>
      <bottom style="double">
        <color rgb="FF3F3F3F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>
        <color rgb="FF7F7F7F"/>
      </right>
      <top style="medium"/>
      <bottom style="medium"/>
      <diagonal/>
    </border>
    <border diagonalUp="false" diagonalDown="false">
      <left style="thin">
        <color rgb="FF7F7F7F"/>
      </left>
      <right style="medium"/>
      <top style="medium"/>
      <bottom style="medium"/>
      <diagonal/>
    </border>
    <border diagonalUp="false" diagonalDown="false">
      <left style="medium"/>
      <right style="thin">
        <color rgb="FF7F7F7F"/>
      </right>
      <top/>
      <bottom style="thin">
        <color rgb="FF7F7F7F"/>
      </bottom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>
        <color rgb="FF7F7F7F"/>
      </right>
      <top style="thin">
        <color rgb="FF7F7F7F"/>
      </top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 diagonalUp="false" diagonalDown="false">
      <left/>
      <right/>
      <top/>
      <bottom style="double">
        <color rgb="FFFF8001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double">
        <color rgb="FF3F3F3F"/>
      </left>
      <right style="double">
        <color rgb="FF3F3F3F"/>
      </right>
      <top/>
      <bottom/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/>
      <right/>
      <top style="thin">
        <color theme="4"/>
      </top>
      <bottom style="double">
        <color theme="4"/>
      </bottom>
      <diagonal/>
    </border>
    <border diagonalUp="false" diagonalDown="false">
      <left/>
      <right/>
      <top/>
      <bottom style="thick">
        <color rgb="FFA1B8E1"/>
      </bottom>
      <diagonal/>
    </border>
    <border diagonalUp="false" diagonalDown="false">
      <left/>
      <right/>
      <top/>
      <bottom style="medium">
        <color rgb="FF8EAADB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B2B2B2"/>
      </left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8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8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1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1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3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1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3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8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8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1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4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8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4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1" fillId="20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0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3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1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2" fillId="1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1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1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9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3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3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4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1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19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9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11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11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3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14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14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9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8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6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6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8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1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1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3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3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3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1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9CC2E5"/>
          <bgColor rgb="FF000000"/>
        </patternFill>
      </fill>
    </dxf>
    <dxf>
      <fill>
        <patternFill patternType="solid">
          <fgColor rgb="FFA5A5A5"/>
          <bgColor rgb="FF000000"/>
        </patternFill>
      </fill>
    </dxf>
    <dxf>
      <fill>
        <patternFill patternType="solid">
          <fgColor rgb="FFFF99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339966"/>
          <bgColor rgb="FF000000"/>
        </patternFill>
      </fill>
    </dxf>
    <dxf>
      <fill>
        <patternFill patternType="solid">
          <fgColor rgb="FF33CCCC"/>
          <bgColor rgb="FF000000"/>
        </patternFill>
      </fill>
    </dxf>
    <dxf>
      <fill>
        <patternFill patternType="solid">
          <fgColor rgb="FFCCCCFF"/>
          <bgColor rgb="FF000000"/>
        </patternFill>
      </fill>
    </dxf>
    <dxf>
      <fill>
        <patternFill patternType="solid">
          <fgColor rgb="FFB4C6E7"/>
          <bgColor rgb="FF000000"/>
        </patternFill>
      </fill>
    </dxf>
    <dxf>
      <fill>
        <patternFill patternType="solid">
          <fgColor rgb="FFDEEAF6"/>
          <bgColor rgb="FF000000"/>
        </patternFill>
      </fill>
    </dxf>
    <dxf>
      <fill>
        <patternFill patternType="solid">
          <fgColor rgb="FFFFCC99"/>
          <bgColor rgb="FF000000"/>
        </patternFill>
      </fill>
    </dxf>
    <dxf>
      <fill>
        <patternFill patternType="solid">
          <fgColor rgb="FF3F3F7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3F3F3F"/>
          <bgColor rgb="FF000000"/>
        </patternFill>
      </fill>
    </dxf>
    <dxf>
      <font>
        <color rgb="FFFFFFFF"/>
      </font>
    </dxf>
  </dxfs>
  <colors>
    <indexedColors>
      <rgbColor rgb="FF000000"/>
      <rgbColor rgb="FFFFFFFF"/>
      <rgbColor rgb="FFFEB4B4"/>
      <rgbColor rgb="FFC5E0B3"/>
      <rgbColor rgb="FFECECEC"/>
      <rgbColor rgb="FFFFFF00"/>
      <rgbColor rgb="FFFEAAE0"/>
      <rgbColor rgb="FFA8D08D"/>
      <rgbColor rgb="FF9C0006"/>
      <rgbColor rgb="FF006100"/>
      <rgbColor rgb="FFFEF2CB"/>
      <rgbColor rgb="FF9C5700"/>
      <rgbColor rgb="FFC8C8C8"/>
      <rgbColor rgb="FF70AD47"/>
      <rgbColor rgb="FFC0C0C0"/>
      <rgbColor rgb="FF7F7F7F"/>
      <rgbColor rgb="FF8EAADB"/>
      <rgbColor rgb="FFFF8BF7"/>
      <rgbColor rgb="FFFFFFCC"/>
      <rgbColor rgb="FFDEEAF6"/>
      <rgbColor rgb="FFDADADA"/>
      <rgbColor rgb="FFED7D31"/>
      <rgbColor rgb="FFADBAFB"/>
      <rgbColor rgb="FFCCCCFF"/>
      <rgbColor rgb="FF000080"/>
      <rgbColor rgb="FFE4AAFE"/>
      <rgbColor rgb="FFFFEB9C"/>
      <rgbColor rgb="FFB4C6E7"/>
      <rgbColor rgb="FFFFC7CE"/>
      <rgbColor rgb="FFFFE598"/>
      <rgbColor rgb="FFA1B8E1"/>
      <rgbColor rgb="FFF2F2F2"/>
      <rgbColor rgb="FF9CC2E5"/>
      <rgbColor rgb="FFE2EFD9"/>
      <rgbColor rgb="FFC6EFCE"/>
      <rgbColor rgb="FFFFFDA9"/>
      <rgbColor rgb="FF9BC1FF"/>
      <rgbColor rgb="FFFF99CC"/>
      <rgbColor rgb="FFCC99FF"/>
      <rgbColor rgb="FFFFCC99"/>
      <rgbColor rgb="FF4472C4"/>
      <rgbColor rgb="FF33CCCC"/>
      <rgbColor rgb="FF92D050"/>
      <rgbColor rgb="FFFFD965"/>
      <rgbColor rgb="FFFF8001"/>
      <rgbColor rgb="FFFA7D00"/>
      <rgbColor rgb="FF7B7B7B"/>
      <rgbColor rgb="FFA5A5A5"/>
      <rgbColor rgb="FF44546A"/>
      <rgbColor rgb="FF339966"/>
      <rgbColor rgb="FFD9E2F3"/>
      <rgbColor rgb="FF525252"/>
      <rgbColor rgb="FF833C0B"/>
      <rgbColor rgb="FFB2B2B2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#&apos;Estimativas Antropom&#233;tricas&apos;!A1"/><Relationship Id="rId2" Type="http://schemas.openxmlformats.org/officeDocument/2006/relationships/hyperlink" Target="#&apos;C&#225;lculos%20dietas&apos;.A1"/><Relationship Id="rId3" Type="http://schemas.openxmlformats.org/officeDocument/2006/relationships/hyperlink" Target="#C&#225;lculos!A1"/><Relationship Id="rId4" Type="http://schemas.openxmlformats.org/officeDocument/2006/relationships/hyperlink" Target="#&apos;Dietas consulta&apos;!A1"/><Relationship Id="rId5" Type="http://schemas.openxmlformats.org/officeDocument/2006/relationships/hyperlink" Target="#Suplementos!A1"/><Relationship Id="rId6" Type="http://schemas.openxmlformats.org/officeDocument/2006/relationships/hyperlink" Target="#&apos;Controle Ingest&#227;o&apos;!A1"/><Relationship Id="rId7" Type="http://schemas.openxmlformats.org/officeDocument/2006/relationships/hyperlink" Target="#&apos;Prescr x Inf&apos;!A1"/><Relationship Id="rId8" Type="http://schemas.openxmlformats.org/officeDocument/2006/relationships/hyperlink" Target="#Acomp!A1"/><Relationship Id="rId9" Type="http://schemas.openxmlformats.org/officeDocument/2006/relationships/hyperlink" Target="#Sigl&#225;rio!A1"/><Relationship Id="rId10" Type="http://schemas.openxmlformats.org/officeDocument/2006/relationships/hyperlink" Target="#Paciente!A1"/><Relationship Id="rId11" Type="http://schemas.openxmlformats.org/officeDocument/2006/relationships/hyperlink" Target="#&apos;Necessidades nutricionais&apos;!A1"/><Relationship Id="rId12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hyperlink" Target="#Indice!A1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hyperlink" Target="#Indice!A1"/><Relationship Id="rId2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hyperlink" Target="#Indice!A1"/><Relationship Id="rId2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hyperlink" Target="#Indice!A1"/><Relationship Id="rId2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hyperlink" Target="#Indice!A1"/><Relationship Id="rId2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hyperlink" Target="#Indice!A1"/><Relationship Id="rId2" Type="http://schemas.openxmlformats.org/officeDocument/2006/relationships/image" Target="../media/image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hyperlink" Target="#Indice!A1"/><Relationship Id="rId2" Type="http://schemas.openxmlformats.org/officeDocument/2006/relationships/image" Target="../media/image1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hyperlink" Target="#Indice!A1"/><Relationship Id="rId2" Type="http://schemas.openxmlformats.org/officeDocument/2006/relationships/image" Target="../media/image4.png"/><Relationship Id="rId3" Type="http://schemas.openxmlformats.org/officeDocument/2006/relationships/image" Target="../media/image1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hyperlink" Target="#Indice!A1"/><Relationship Id="rId2" Type="http://schemas.openxmlformats.org/officeDocument/2006/relationships/image" Target="../media/image5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hyperlink" Target="#Indice!A1"/><Relationship Id="rId2" Type="http://schemas.openxmlformats.org/officeDocument/2006/relationships/image" Target="../media/image6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hyperlink" Target="#Indice!A1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162000</xdr:colOff>
      <xdr:row>1</xdr:row>
      <xdr:rowOff>57240</xdr:rowOff>
    </xdr:from>
    <xdr:to>
      <xdr:col>4</xdr:col>
      <xdr:colOff>319680</xdr:colOff>
      <xdr:row>5</xdr:row>
      <xdr:rowOff>75600</xdr:rowOff>
    </xdr:to>
    <xdr:sp>
      <xdr:nvSpPr>
        <xdr:cNvPr id="1" name="Shape 3">
          <a:hlinkClick r:id="rId1"/>
        </xdr:cNvPr>
        <xdr:cNvSpPr/>
      </xdr:nvSpPr>
      <xdr:spPr>
        <a:xfrm>
          <a:off x="772920" y="247680"/>
          <a:ext cx="1990080" cy="780480"/>
        </a:xfrm>
        <a:prstGeom prst="flowChartDocument">
          <a:avLst/>
        </a:prstGeom>
        <a:solidFill>
          <a:srgbClr val="ff8bf7"/>
        </a:solidFill>
        <a:ln w="0">
          <a:noFill/>
        </a:ln>
        <a:effectLst>
          <a:outerShdw algn="ctr" blurRad="108000" dir="5400000" dist="12600">
            <a:srgbClr val="000000"/>
          </a:outerShdw>
        </a:effectLst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Estimativas Antropométricas</a:t>
          </a:r>
          <a:endParaRPr lang="pt-BR" sz="1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247680</xdr:colOff>
      <xdr:row>1</xdr:row>
      <xdr:rowOff>38160</xdr:rowOff>
    </xdr:from>
    <xdr:to>
      <xdr:col>8</xdr:col>
      <xdr:colOff>243000</xdr:colOff>
      <xdr:row>5</xdr:row>
      <xdr:rowOff>37440</xdr:rowOff>
    </xdr:to>
    <xdr:sp>
      <xdr:nvSpPr>
        <xdr:cNvPr id="2" name="Shape 4">
          <a:hlinkClick r:id="rId2"/>
        </xdr:cNvPr>
        <xdr:cNvSpPr/>
      </xdr:nvSpPr>
      <xdr:spPr>
        <a:xfrm>
          <a:off x="3301920" y="228600"/>
          <a:ext cx="1828080" cy="761400"/>
        </a:xfrm>
        <a:prstGeom prst="flowChartDocument">
          <a:avLst/>
        </a:prstGeom>
        <a:solidFill>
          <a:srgbClr val="9bc1ff"/>
        </a:solidFill>
        <a:ln w="0">
          <a:noFill/>
        </a:ln>
        <a:effectLst>
          <a:outerShdw algn="ctr" blurRad="108000" dir="5400000" dist="12600">
            <a:srgbClr val="000000"/>
          </a:outerShdw>
        </a:effectLst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lang="en-US" sz="1600" b="1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Cálculos de dietas</a:t>
          </a:r>
          <a:endParaRPr lang="pt-BR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133200</xdr:colOff>
      <xdr:row>6</xdr:row>
      <xdr:rowOff>152280</xdr:rowOff>
    </xdr:from>
    <xdr:to>
      <xdr:col>4</xdr:col>
      <xdr:colOff>128880</xdr:colOff>
      <xdr:row>10</xdr:row>
      <xdr:rowOff>151560</xdr:rowOff>
    </xdr:to>
    <xdr:sp>
      <xdr:nvSpPr>
        <xdr:cNvPr id="3" name="Shape 5">
          <a:hlinkClick r:id="rId3"/>
        </xdr:cNvPr>
        <xdr:cNvSpPr/>
      </xdr:nvSpPr>
      <xdr:spPr>
        <a:xfrm>
          <a:off x="744120" y="1295280"/>
          <a:ext cx="1828080" cy="761400"/>
        </a:xfrm>
        <a:prstGeom prst="flowChartDocument">
          <a:avLst/>
        </a:prstGeom>
        <a:solidFill>
          <a:srgbClr val="c4e0b2"/>
        </a:solidFill>
        <a:ln w="0">
          <a:noFill/>
        </a:ln>
        <a:effectLst>
          <a:outerShdw algn="ctr" blurRad="108000" dir="5400000" dist="12600">
            <a:srgbClr val="000000"/>
          </a:outerShdw>
        </a:effectLst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lang="en-US" sz="1600" b="1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Cálculos gerais</a:t>
          </a:r>
          <a:endParaRPr lang="pt-BR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237960</xdr:colOff>
      <xdr:row>6</xdr:row>
      <xdr:rowOff>162000</xdr:rowOff>
    </xdr:from>
    <xdr:to>
      <xdr:col>8</xdr:col>
      <xdr:colOff>233280</xdr:colOff>
      <xdr:row>10</xdr:row>
      <xdr:rowOff>161280</xdr:rowOff>
    </xdr:to>
    <xdr:sp>
      <xdr:nvSpPr>
        <xdr:cNvPr id="4" name="Shape 6">
          <a:hlinkClick r:id="rId4"/>
        </xdr:cNvPr>
        <xdr:cNvSpPr/>
      </xdr:nvSpPr>
      <xdr:spPr>
        <a:xfrm>
          <a:off x="3292200" y="1305000"/>
          <a:ext cx="1828080" cy="761400"/>
        </a:xfrm>
        <a:prstGeom prst="flowChartDocument">
          <a:avLst/>
        </a:prstGeom>
        <a:solidFill>
          <a:srgbClr val="f7caac"/>
        </a:solidFill>
        <a:ln w="0">
          <a:noFill/>
        </a:ln>
        <a:effectLst>
          <a:outerShdw algn="ctr" blurRad="108000" dir="5400000" dist="12600">
            <a:srgbClr val="000000"/>
          </a:outerShdw>
        </a:effectLst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lang="en-US" sz="1600" b="1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Dietas</a:t>
          </a:r>
          <a:endParaRPr lang="pt-BR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123840</xdr:colOff>
      <xdr:row>12</xdr:row>
      <xdr:rowOff>38160</xdr:rowOff>
    </xdr:from>
    <xdr:to>
      <xdr:col>4</xdr:col>
      <xdr:colOff>119520</xdr:colOff>
      <xdr:row>16</xdr:row>
      <xdr:rowOff>37440</xdr:rowOff>
    </xdr:to>
    <xdr:sp>
      <xdr:nvSpPr>
        <xdr:cNvPr id="5" name="Shape 7">
          <a:hlinkClick r:id="rId5"/>
        </xdr:cNvPr>
        <xdr:cNvSpPr/>
      </xdr:nvSpPr>
      <xdr:spPr>
        <a:xfrm>
          <a:off x="734760" y="2324160"/>
          <a:ext cx="1828080" cy="761400"/>
        </a:xfrm>
        <a:prstGeom prst="flowChartDocument">
          <a:avLst/>
        </a:prstGeom>
        <a:solidFill>
          <a:srgbClr val="fffda9"/>
        </a:solidFill>
        <a:ln w="0">
          <a:noFill/>
        </a:ln>
        <a:effectLst>
          <a:outerShdw algn="ctr" blurRad="108000" dir="5400000" dist="12600">
            <a:srgbClr val="000000"/>
          </a:outerShdw>
        </a:effectLst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lang="en-US" sz="1600" b="1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Suplementos</a:t>
          </a:r>
          <a:endParaRPr lang="pt-BR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219240</xdr:colOff>
      <xdr:row>12</xdr:row>
      <xdr:rowOff>47520</xdr:rowOff>
    </xdr:from>
    <xdr:to>
      <xdr:col>8</xdr:col>
      <xdr:colOff>214560</xdr:colOff>
      <xdr:row>16</xdr:row>
      <xdr:rowOff>46800</xdr:rowOff>
    </xdr:to>
    <xdr:sp>
      <xdr:nvSpPr>
        <xdr:cNvPr id="6" name="Shape 8">
          <a:hlinkClick r:id="rId6"/>
        </xdr:cNvPr>
        <xdr:cNvSpPr/>
      </xdr:nvSpPr>
      <xdr:spPr>
        <a:xfrm>
          <a:off x="3273480" y="2333520"/>
          <a:ext cx="1828080" cy="761400"/>
        </a:xfrm>
        <a:prstGeom prst="flowChartDocument">
          <a:avLst/>
        </a:prstGeom>
        <a:solidFill>
          <a:srgbClr val="e4aafe"/>
        </a:solidFill>
        <a:ln w="0">
          <a:noFill/>
        </a:ln>
        <a:effectLst>
          <a:outerShdw algn="ctr" blurRad="108000" dir="5400000" dist="12600">
            <a:srgbClr val="000000"/>
          </a:outerShdw>
        </a:effectLst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Controle de Ingestão Via Oral</a:t>
          </a:r>
          <a:endParaRPr lang="pt-BR" sz="1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142920</xdr:colOff>
      <xdr:row>17</xdr:row>
      <xdr:rowOff>85680</xdr:rowOff>
    </xdr:from>
    <xdr:to>
      <xdr:col>4</xdr:col>
      <xdr:colOff>138600</xdr:colOff>
      <xdr:row>21</xdr:row>
      <xdr:rowOff>75600</xdr:rowOff>
    </xdr:to>
    <xdr:sp>
      <xdr:nvSpPr>
        <xdr:cNvPr id="7" name="Shape 9">
          <a:hlinkClick r:id="rId7"/>
        </xdr:cNvPr>
        <xdr:cNvSpPr/>
      </xdr:nvSpPr>
      <xdr:spPr>
        <a:xfrm>
          <a:off x="753840" y="3324240"/>
          <a:ext cx="1828080" cy="761400"/>
        </a:xfrm>
        <a:prstGeom prst="flowChartDocument">
          <a:avLst/>
        </a:prstGeom>
        <a:solidFill>
          <a:srgbClr val="adbafb"/>
        </a:solidFill>
        <a:ln w="0">
          <a:noFill/>
        </a:ln>
        <a:effectLst>
          <a:outerShdw algn="ctr" blurRad="108000" dir="5400000" dist="12600">
            <a:srgbClr val="000000"/>
          </a:outerShdw>
        </a:effectLst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Prescrito x Infundido</a:t>
          </a:r>
          <a:endParaRPr lang="pt-BR" sz="1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219240</xdr:colOff>
      <xdr:row>17</xdr:row>
      <xdr:rowOff>76320</xdr:rowOff>
    </xdr:from>
    <xdr:to>
      <xdr:col>8</xdr:col>
      <xdr:colOff>214560</xdr:colOff>
      <xdr:row>21</xdr:row>
      <xdr:rowOff>66240</xdr:rowOff>
    </xdr:to>
    <xdr:sp>
      <xdr:nvSpPr>
        <xdr:cNvPr id="8" name="Shape 10">
          <a:hlinkClick r:id="rId8"/>
        </xdr:cNvPr>
        <xdr:cNvSpPr/>
      </xdr:nvSpPr>
      <xdr:spPr>
        <a:xfrm>
          <a:off x="3273480" y="3314880"/>
          <a:ext cx="1828080" cy="761400"/>
        </a:xfrm>
        <a:prstGeom prst="flowChartDocument">
          <a:avLst/>
        </a:prstGeom>
        <a:solidFill>
          <a:srgbClr val="feb4b4"/>
        </a:solidFill>
        <a:ln w="0">
          <a:noFill/>
        </a:ln>
        <a:effectLst>
          <a:outerShdw algn="ctr" blurRad="108000" dir="5400000" dist="12600">
            <a:srgbClr val="000000"/>
          </a:outerShdw>
        </a:effectLst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Acompanhamento antropométrico</a:t>
          </a:r>
          <a:endParaRPr lang="pt-BR" sz="1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590400</xdr:colOff>
      <xdr:row>12</xdr:row>
      <xdr:rowOff>28440</xdr:rowOff>
    </xdr:from>
    <xdr:to>
      <xdr:col>11</xdr:col>
      <xdr:colOff>567000</xdr:colOff>
      <xdr:row>16</xdr:row>
      <xdr:rowOff>8640</xdr:rowOff>
    </xdr:to>
    <xdr:sp>
      <xdr:nvSpPr>
        <xdr:cNvPr id="9" name="Shape 11">
          <a:hlinkClick r:id="rId9"/>
        </xdr:cNvPr>
        <xdr:cNvSpPr/>
      </xdr:nvSpPr>
      <xdr:spPr>
        <a:xfrm>
          <a:off x="5477400" y="2314440"/>
          <a:ext cx="1809000" cy="742320"/>
        </a:xfrm>
        <a:prstGeom prst="flowChartDocument">
          <a:avLst/>
        </a:prstGeom>
        <a:solidFill>
          <a:srgbClr val="ffd966"/>
        </a:solidFill>
        <a:ln w="0">
          <a:noFill/>
        </a:ln>
        <a:effectLst>
          <a:outerShdw algn="ctr" blurRad="108000" dir="5400000" dist="12600">
            <a:srgbClr val="000000"/>
          </a:outerShdw>
        </a:effectLst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Siglário</a:t>
          </a:r>
          <a:endParaRPr lang="pt-BR" sz="1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590400</xdr:colOff>
      <xdr:row>6</xdr:row>
      <xdr:rowOff>162000</xdr:rowOff>
    </xdr:from>
    <xdr:to>
      <xdr:col>11</xdr:col>
      <xdr:colOff>567000</xdr:colOff>
      <xdr:row>10</xdr:row>
      <xdr:rowOff>161280</xdr:rowOff>
    </xdr:to>
    <xdr:sp>
      <xdr:nvSpPr>
        <xdr:cNvPr id="10" name="Shape 12">
          <a:hlinkClick r:id="rId10"/>
        </xdr:cNvPr>
        <xdr:cNvSpPr/>
      </xdr:nvSpPr>
      <xdr:spPr>
        <a:xfrm>
          <a:off x="5477400" y="1305000"/>
          <a:ext cx="1809000" cy="761400"/>
        </a:xfrm>
        <a:prstGeom prst="flowChartDocument">
          <a:avLst/>
        </a:prstGeom>
        <a:solidFill>
          <a:srgbClr val="92d050"/>
        </a:solidFill>
        <a:ln w="0">
          <a:noFill/>
        </a:ln>
        <a:effectLst>
          <a:outerShdw algn="ctr" blurRad="108000" dir="5400000" dist="12600">
            <a:srgbClr val="000000"/>
          </a:outerShdw>
        </a:effectLst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Acompanhamento diário </a:t>
          </a:r>
          <a:endParaRPr lang="pt-BR" sz="1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552600</xdr:colOff>
      <xdr:row>1</xdr:row>
      <xdr:rowOff>66600</xdr:rowOff>
    </xdr:from>
    <xdr:to>
      <xdr:col>11</xdr:col>
      <xdr:colOff>529200</xdr:colOff>
      <xdr:row>5</xdr:row>
      <xdr:rowOff>65880</xdr:rowOff>
    </xdr:to>
    <xdr:sp>
      <xdr:nvSpPr>
        <xdr:cNvPr id="11" name="Shape 13">
          <a:hlinkClick r:id="rId11"/>
        </xdr:cNvPr>
        <xdr:cNvSpPr/>
      </xdr:nvSpPr>
      <xdr:spPr>
        <a:xfrm>
          <a:off x="5439600" y="257040"/>
          <a:ext cx="1809000" cy="761400"/>
        </a:xfrm>
        <a:prstGeom prst="flowChartDocument">
          <a:avLst/>
        </a:prstGeom>
        <a:solidFill>
          <a:srgbClr val="ffc000"/>
        </a:solidFill>
        <a:ln w="0">
          <a:noFill/>
        </a:ln>
        <a:effectLst>
          <a:outerShdw algn="ctr" blurRad="108000" dir="5400000" dist="12600">
            <a:srgbClr val="000000"/>
          </a:outerShdw>
        </a:effectLst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lang="en-US" sz="1400" b="1" u="none" strike="noStrike">
              <a:solidFill>
                <a:srgbClr val="000000"/>
              </a:solidFill>
              <a:effectLst/>
              <a:uFillTx/>
              <a:latin typeface="Calibri"/>
              <a:ea typeface="Calibri"/>
            </a:rPr>
            <a:t>Necessidades Nutricionais</a:t>
          </a:r>
          <a:endParaRPr lang="pt-BR" sz="1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12</xdr:col>
      <xdr:colOff>85680</xdr:colOff>
      <xdr:row>0</xdr:row>
      <xdr:rowOff>19080</xdr:rowOff>
    </xdr:from>
    <xdr:to>
      <xdr:col>15</xdr:col>
      <xdr:colOff>138240</xdr:colOff>
      <xdr:row>10</xdr:row>
      <xdr:rowOff>180000</xdr:rowOff>
    </xdr:to>
    <xdr:pic>
      <xdr:nvPicPr>
        <xdr:cNvPr id="12" name="image3.png"/>
        <xdr:cNvPicPr/>
      </xdr:nvPicPr>
      <xdr:blipFill>
        <a:blip r:embed="rId12"/>
        <a:stretch/>
      </xdr:blipFill>
      <xdr:spPr>
        <a:xfrm>
          <a:off x="7416000" y="19080"/>
          <a:ext cx="1885320" cy="2066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152280</xdr:colOff>
      <xdr:row>2</xdr:row>
      <xdr:rowOff>152280</xdr:rowOff>
    </xdr:from>
    <xdr:to>
      <xdr:col>10</xdr:col>
      <xdr:colOff>464400</xdr:colOff>
      <xdr:row>5</xdr:row>
      <xdr:rowOff>122760</xdr:rowOff>
    </xdr:to>
    <xdr:sp>
      <xdr:nvSpPr>
        <xdr:cNvPr id="13" name="Shape 14">
          <a:hlinkClick r:id="rId1"/>
        </xdr:cNvPr>
        <xdr:cNvSpPr/>
      </xdr:nvSpPr>
      <xdr:spPr>
        <a:xfrm>
          <a:off x="9603720" y="533160"/>
          <a:ext cx="923040" cy="542160"/>
        </a:xfrm>
        <a:prstGeom prst="flowChartAlternateProcess">
          <a:avLst/>
        </a:prstGeom>
        <a:solidFill>
          <a:srgbClr val="4472c4"/>
        </a:solidFill>
        <a:ln w="12700">
          <a:solidFill>
            <a:srgbClr val="31538f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  <a:ea typeface="Calibri"/>
            </a:rPr>
            <a:t>VOLTAR </a:t>
          </a:r>
          <a:endParaRPr lang="pt-BR" sz="1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533520</xdr:colOff>
      <xdr:row>0</xdr:row>
      <xdr:rowOff>0</xdr:rowOff>
    </xdr:from>
    <xdr:to>
      <xdr:col>7</xdr:col>
      <xdr:colOff>672480</xdr:colOff>
      <xdr:row>7</xdr:row>
      <xdr:rowOff>132840</xdr:rowOff>
    </xdr:to>
    <xdr:pic>
      <xdr:nvPicPr>
        <xdr:cNvPr id="14" name="image2.png"/>
        <xdr:cNvPicPr/>
      </xdr:nvPicPr>
      <xdr:blipFill>
        <a:blip r:embed="rId2"/>
        <a:stretch/>
      </xdr:blipFill>
      <xdr:spPr>
        <a:xfrm>
          <a:off x="7236720" y="0"/>
          <a:ext cx="1399320" cy="1466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304920</xdr:colOff>
      <xdr:row>1</xdr:row>
      <xdr:rowOff>76320</xdr:rowOff>
    </xdr:from>
    <xdr:to>
      <xdr:col>12</xdr:col>
      <xdr:colOff>588960</xdr:colOff>
      <xdr:row>4</xdr:row>
      <xdr:rowOff>161280</xdr:rowOff>
    </xdr:to>
    <xdr:pic>
      <xdr:nvPicPr>
        <xdr:cNvPr id="15" name="image1.png"/>
        <xdr:cNvPicPr/>
      </xdr:nvPicPr>
      <xdr:blipFill>
        <a:blip r:embed="rId1"/>
        <a:stretch/>
      </xdr:blipFill>
      <xdr:spPr>
        <a:xfrm>
          <a:off x="8191800" y="266760"/>
          <a:ext cx="894600" cy="656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76320</xdr:colOff>
      <xdr:row>1</xdr:row>
      <xdr:rowOff>171360</xdr:rowOff>
    </xdr:from>
    <xdr:to>
      <xdr:col>26</xdr:col>
      <xdr:colOff>388440</xdr:colOff>
      <xdr:row>3</xdr:row>
      <xdr:rowOff>94320</xdr:rowOff>
    </xdr:to>
    <xdr:sp>
      <xdr:nvSpPr>
        <xdr:cNvPr id="16" name="Shape 15">
          <a:hlinkClick r:id="rId1"/>
        </xdr:cNvPr>
        <xdr:cNvSpPr/>
      </xdr:nvSpPr>
      <xdr:spPr>
        <a:xfrm>
          <a:off x="20154960" y="361800"/>
          <a:ext cx="923040" cy="304200"/>
        </a:xfrm>
        <a:prstGeom prst="flowChartAlternateProcess">
          <a:avLst/>
        </a:prstGeom>
        <a:solidFill>
          <a:srgbClr val="4472c4"/>
        </a:solidFill>
        <a:ln w="12700">
          <a:solidFill>
            <a:srgbClr val="31538f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  <a:ea typeface="Calibri"/>
            </a:rPr>
            <a:t>VOLTAR </a:t>
          </a:r>
          <a:endParaRPr lang="pt-BR" sz="1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24</xdr:col>
      <xdr:colOff>152280</xdr:colOff>
      <xdr:row>2</xdr:row>
      <xdr:rowOff>181080</xdr:rowOff>
    </xdr:from>
    <xdr:to>
      <xdr:col>27</xdr:col>
      <xdr:colOff>538200</xdr:colOff>
      <xdr:row>15</xdr:row>
      <xdr:rowOff>3600</xdr:rowOff>
    </xdr:to>
    <xdr:pic>
      <xdr:nvPicPr>
        <xdr:cNvPr id="17" name="image3.png"/>
        <xdr:cNvPicPr/>
      </xdr:nvPicPr>
      <xdr:blipFill>
        <a:blip r:embed="rId2"/>
        <a:stretch/>
      </xdr:blipFill>
      <xdr:spPr>
        <a:xfrm>
          <a:off x="19620000" y="561960"/>
          <a:ext cx="2218680" cy="2313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76320</xdr:colOff>
      <xdr:row>1</xdr:row>
      <xdr:rowOff>171360</xdr:rowOff>
    </xdr:from>
    <xdr:to>
      <xdr:col>26</xdr:col>
      <xdr:colOff>388440</xdr:colOff>
      <xdr:row>3</xdr:row>
      <xdr:rowOff>94320</xdr:rowOff>
    </xdr:to>
    <xdr:sp>
      <xdr:nvSpPr>
        <xdr:cNvPr id="18" name="Shape 16">
          <a:hlinkClick r:id="rId1"/>
        </xdr:cNvPr>
        <xdr:cNvSpPr/>
      </xdr:nvSpPr>
      <xdr:spPr>
        <a:xfrm>
          <a:off x="20421000" y="361800"/>
          <a:ext cx="923040" cy="304200"/>
        </a:xfrm>
        <a:prstGeom prst="flowChartAlternateProcess">
          <a:avLst/>
        </a:prstGeom>
        <a:solidFill>
          <a:srgbClr val="4472c4"/>
        </a:solidFill>
        <a:ln w="12700">
          <a:solidFill>
            <a:srgbClr val="31538f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  <a:ea typeface="Calibri"/>
            </a:rPr>
            <a:t>VOLTAR </a:t>
          </a:r>
          <a:endParaRPr lang="pt-BR" sz="1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24</xdr:col>
      <xdr:colOff>152280</xdr:colOff>
      <xdr:row>2</xdr:row>
      <xdr:rowOff>181080</xdr:rowOff>
    </xdr:from>
    <xdr:to>
      <xdr:col>27</xdr:col>
      <xdr:colOff>538200</xdr:colOff>
      <xdr:row>15</xdr:row>
      <xdr:rowOff>3600</xdr:rowOff>
    </xdr:to>
    <xdr:pic>
      <xdr:nvPicPr>
        <xdr:cNvPr id="19" name="image3.png"/>
        <xdr:cNvPicPr/>
      </xdr:nvPicPr>
      <xdr:blipFill>
        <a:blip r:embed="rId2"/>
        <a:stretch/>
      </xdr:blipFill>
      <xdr:spPr>
        <a:xfrm>
          <a:off x="19886040" y="561960"/>
          <a:ext cx="2218680" cy="2313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0</xdr:colOff>
      <xdr:row>7</xdr:row>
      <xdr:rowOff>123840</xdr:rowOff>
    </xdr:from>
    <xdr:to>
      <xdr:col>17</xdr:col>
      <xdr:colOff>312120</xdr:colOff>
      <xdr:row>9</xdr:row>
      <xdr:rowOff>75240</xdr:rowOff>
    </xdr:to>
    <xdr:sp>
      <xdr:nvSpPr>
        <xdr:cNvPr id="20" name="Shape 17">
          <a:hlinkClick r:id="rId1"/>
        </xdr:cNvPr>
        <xdr:cNvSpPr/>
      </xdr:nvSpPr>
      <xdr:spPr>
        <a:xfrm>
          <a:off x="11261880" y="1457280"/>
          <a:ext cx="922680" cy="332640"/>
        </a:xfrm>
        <a:prstGeom prst="flowChartAlternateProcess">
          <a:avLst/>
        </a:prstGeom>
        <a:solidFill>
          <a:srgbClr val="4472c4"/>
        </a:solidFill>
        <a:ln w="12700">
          <a:solidFill>
            <a:srgbClr val="31538f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  <a:ea typeface="Calibri"/>
            </a:rPr>
            <a:t>VOLTAR </a:t>
          </a:r>
          <a:endParaRPr lang="pt-BR" sz="1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361800</xdr:colOff>
      <xdr:row>0</xdr:row>
      <xdr:rowOff>0</xdr:rowOff>
    </xdr:from>
    <xdr:to>
      <xdr:col>15</xdr:col>
      <xdr:colOff>59400</xdr:colOff>
      <xdr:row>15</xdr:row>
      <xdr:rowOff>160920</xdr:rowOff>
    </xdr:to>
    <xdr:pic>
      <xdr:nvPicPr>
        <xdr:cNvPr id="21" name="image3.png"/>
        <xdr:cNvPicPr/>
      </xdr:nvPicPr>
      <xdr:blipFill>
        <a:blip r:embed="rId2"/>
        <a:stretch/>
      </xdr:blipFill>
      <xdr:spPr>
        <a:xfrm>
          <a:off x="7958160" y="0"/>
          <a:ext cx="2752200" cy="3018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162000</xdr:rowOff>
    </xdr:from>
    <xdr:to>
      <xdr:col>13</xdr:col>
      <xdr:colOff>312120</xdr:colOff>
      <xdr:row>4</xdr:row>
      <xdr:rowOff>113400</xdr:rowOff>
    </xdr:to>
    <xdr:sp>
      <xdr:nvSpPr>
        <xdr:cNvPr id="22" name="Shape 18">
          <a:hlinkClick r:id="rId1"/>
        </xdr:cNvPr>
        <xdr:cNvSpPr/>
      </xdr:nvSpPr>
      <xdr:spPr>
        <a:xfrm>
          <a:off x="9758160" y="542880"/>
          <a:ext cx="923040" cy="332640"/>
        </a:xfrm>
        <a:prstGeom prst="flowChartAlternateProcess">
          <a:avLst/>
        </a:prstGeom>
        <a:solidFill>
          <a:srgbClr val="4472c4"/>
        </a:solidFill>
        <a:ln w="12700">
          <a:solidFill>
            <a:srgbClr val="31538f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  <a:ea typeface="Calibri"/>
            </a:rPr>
            <a:t>VOLTAR </a:t>
          </a:r>
          <a:endParaRPr lang="pt-BR" sz="1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9</xdr:col>
      <xdr:colOff>609480</xdr:colOff>
      <xdr:row>5</xdr:row>
      <xdr:rowOff>9720</xdr:rowOff>
    </xdr:from>
    <xdr:to>
      <xdr:col>13</xdr:col>
      <xdr:colOff>493200</xdr:colOff>
      <xdr:row>20</xdr:row>
      <xdr:rowOff>47160</xdr:rowOff>
    </xdr:to>
    <xdr:pic>
      <xdr:nvPicPr>
        <xdr:cNvPr id="23" name="image3.png"/>
        <xdr:cNvPicPr/>
      </xdr:nvPicPr>
      <xdr:blipFill>
        <a:blip r:embed="rId2"/>
        <a:stretch/>
      </xdr:blipFill>
      <xdr:spPr>
        <a:xfrm>
          <a:off x="8253000" y="962280"/>
          <a:ext cx="2609280" cy="2894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476280</xdr:colOff>
      <xdr:row>0</xdr:row>
      <xdr:rowOff>123840</xdr:rowOff>
    </xdr:from>
    <xdr:to>
      <xdr:col>16</xdr:col>
      <xdr:colOff>153720</xdr:colOff>
      <xdr:row>2</xdr:row>
      <xdr:rowOff>47160</xdr:rowOff>
    </xdr:to>
    <xdr:sp>
      <xdr:nvSpPr>
        <xdr:cNvPr id="24" name="Shape 19">
          <a:hlinkClick r:id="rId1"/>
        </xdr:cNvPr>
        <xdr:cNvSpPr/>
      </xdr:nvSpPr>
      <xdr:spPr>
        <a:xfrm>
          <a:off x="11328480" y="123840"/>
          <a:ext cx="961200" cy="285120"/>
        </a:xfrm>
        <a:prstGeom prst="flowChartAlternateProcess">
          <a:avLst/>
        </a:prstGeom>
        <a:solidFill>
          <a:srgbClr val="4472c4"/>
        </a:solidFill>
        <a:ln w="12700">
          <a:solidFill>
            <a:srgbClr val="31538f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  <a:ea typeface="Calibri"/>
            </a:rPr>
            <a:t>VOLTAR </a:t>
          </a:r>
          <a:endParaRPr lang="pt-BR" sz="1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14</xdr:col>
      <xdr:colOff>533520</xdr:colOff>
      <xdr:row>11</xdr:row>
      <xdr:rowOff>162000</xdr:rowOff>
    </xdr:from>
    <xdr:to>
      <xdr:col>17</xdr:col>
      <xdr:colOff>524160</xdr:colOff>
      <xdr:row>21</xdr:row>
      <xdr:rowOff>28080</xdr:rowOff>
    </xdr:to>
    <xdr:pic>
      <xdr:nvPicPr>
        <xdr:cNvPr id="25" name="image3.png"/>
        <xdr:cNvPicPr/>
      </xdr:nvPicPr>
      <xdr:blipFill>
        <a:blip r:embed="rId2"/>
        <a:stretch/>
      </xdr:blipFill>
      <xdr:spPr>
        <a:xfrm>
          <a:off x="11385720" y="2152800"/>
          <a:ext cx="1885320" cy="1713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123840</xdr:colOff>
      <xdr:row>3</xdr:row>
      <xdr:rowOff>161640</xdr:rowOff>
    </xdr:from>
    <xdr:to>
      <xdr:col>13</xdr:col>
      <xdr:colOff>435960</xdr:colOff>
      <xdr:row>5</xdr:row>
      <xdr:rowOff>94320</xdr:rowOff>
    </xdr:to>
    <xdr:sp>
      <xdr:nvSpPr>
        <xdr:cNvPr id="26" name="Shape 20">
          <a:hlinkClick r:id="rId1"/>
        </xdr:cNvPr>
        <xdr:cNvSpPr/>
      </xdr:nvSpPr>
      <xdr:spPr>
        <a:xfrm>
          <a:off x="8456400" y="733320"/>
          <a:ext cx="923040" cy="313560"/>
        </a:xfrm>
        <a:prstGeom prst="flowChartAlternateProcess">
          <a:avLst/>
        </a:prstGeom>
        <a:solidFill>
          <a:srgbClr val="4472c4"/>
        </a:solidFill>
        <a:ln w="12700">
          <a:solidFill>
            <a:srgbClr val="31538f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  <a:ea typeface="Calibri"/>
            </a:rPr>
            <a:t>VOLTAR </a:t>
          </a:r>
          <a:endParaRPr lang="pt-BR" sz="1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438120</xdr:colOff>
      <xdr:row>0</xdr:row>
      <xdr:rowOff>0</xdr:rowOff>
    </xdr:from>
    <xdr:to>
      <xdr:col>12</xdr:col>
      <xdr:colOff>3600</xdr:colOff>
      <xdr:row>10</xdr:row>
      <xdr:rowOff>151560</xdr:rowOff>
    </xdr:to>
    <xdr:pic>
      <xdr:nvPicPr>
        <xdr:cNvPr id="27" name="image3.png"/>
        <xdr:cNvPicPr/>
      </xdr:nvPicPr>
      <xdr:blipFill>
        <a:blip r:embed="rId2"/>
        <a:stretch/>
      </xdr:blipFill>
      <xdr:spPr>
        <a:xfrm>
          <a:off x="6327000" y="0"/>
          <a:ext cx="2009160" cy="2056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466560</xdr:colOff>
      <xdr:row>4</xdr:row>
      <xdr:rowOff>66600</xdr:rowOff>
    </xdr:from>
    <xdr:to>
      <xdr:col>13</xdr:col>
      <xdr:colOff>276480</xdr:colOff>
      <xdr:row>6</xdr:row>
      <xdr:rowOff>37440</xdr:rowOff>
    </xdr:to>
    <xdr:sp>
      <xdr:nvSpPr>
        <xdr:cNvPr id="28" name="Shape 21">
          <a:hlinkClick r:id="rId1"/>
        </xdr:cNvPr>
        <xdr:cNvSpPr/>
      </xdr:nvSpPr>
      <xdr:spPr>
        <a:xfrm>
          <a:off x="9958680" y="828720"/>
          <a:ext cx="961200" cy="351720"/>
        </a:xfrm>
        <a:prstGeom prst="flowChartAlternateProcess">
          <a:avLst/>
        </a:prstGeom>
        <a:solidFill>
          <a:srgbClr val="4472c4"/>
        </a:solidFill>
        <a:ln w="12700">
          <a:solidFill>
            <a:srgbClr val="31538f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  <a:ea typeface="Calibri"/>
            </a:rPr>
            <a:t>VOLTAR </a:t>
          </a:r>
          <a:endParaRPr lang="pt-BR" sz="1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162000</xdr:colOff>
      <xdr:row>0</xdr:row>
      <xdr:rowOff>19080</xdr:rowOff>
    </xdr:from>
    <xdr:to>
      <xdr:col>4</xdr:col>
      <xdr:colOff>294480</xdr:colOff>
      <xdr:row>14</xdr:row>
      <xdr:rowOff>47160</xdr:rowOff>
    </xdr:to>
    <xdr:pic>
      <xdr:nvPicPr>
        <xdr:cNvPr id="29" name="image6.png"/>
        <xdr:cNvPicPr/>
      </xdr:nvPicPr>
      <xdr:blipFill>
        <a:blip r:embed="rId2"/>
        <a:stretch/>
      </xdr:blipFill>
      <xdr:spPr>
        <a:xfrm>
          <a:off x="162000" y="19080"/>
          <a:ext cx="3656880" cy="2694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571680</xdr:colOff>
      <xdr:row>0</xdr:row>
      <xdr:rowOff>0</xdr:rowOff>
    </xdr:from>
    <xdr:to>
      <xdr:col>12</xdr:col>
      <xdr:colOff>169560</xdr:colOff>
      <xdr:row>11</xdr:row>
      <xdr:rowOff>27720</xdr:rowOff>
    </xdr:to>
    <xdr:pic>
      <xdr:nvPicPr>
        <xdr:cNvPr id="30" name="image3.png"/>
        <xdr:cNvPicPr/>
      </xdr:nvPicPr>
      <xdr:blipFill>
        <a:blip r:embed="rId3"/>
        <a:stretch/>
      </xdr:blipFill>
      <xdr:spPr>
        <a:xfrm>
          <a:off x="7690680" y="0"/>
          <a:ext cx="1971000" cy="2123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219240</xdr:colOff>
      <xdr:row>1</xdr:row>
      <xdr:rowOff>181080</xdr:rowOff>
    </xdr:from>
    <xdr:to>
      <xdr:col>9</xdr:col>
      <xdr:colOff>531720</xdr:colOff>
      <xdr:row>3</xdr:row>
      <xdr:rowOff>123120</xdr:rowOff>
    </xdr:to>
    <xdr:sp>
      <xdr:nvSpPr>
        <xdr:cNvPr id="31" name="Shape 22">
          <a:hlinkClick r:id="rId1"/>
        </xdr:cNvPr>
        <xdr:cNvSpPr/>
      </xdr:nvSpPr>
      <xdr:spPr>
        <a:xfrm>
          <a:off x="8424720" y="371520"/>
          <a:ext cx="923400" cy="323280"/>
        </a:xfrm>
        <a:prstGeom prst="flowChartAlternateProcess">
          <a:avLst/>
        </a:prstGeom>
        <a:solidFill>
          <a:srgbClr val="4472c4"/>
        </a:solidFill>
        <a:ln w="12700">
          <a:solidFill>
            <a:srgbClr val="31538f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  <a:ea typeface="Calibri"/>
            </a:rPr>
            <a:t>VOLTAR </a:t>
          </a:r>
          <a:endParaRPr lang="pt-BR" sz="1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485640</xdr:colOff>
      <xdr:row>0</xdr:row>
      <xdr:rowOff>0</xdr:rowOff>
    </xdr:from>
    <xdr:to>
      <xdr:col>7</xdr:col>
      <xdr:colOff>549000</xdr:colOff>
      <xdr:row>7</xdr:row>
      <xdr:rowOff>46800</xdr:rowOff>
    </xdr:to>
    <xdr:pic>
      <xdr:nvPicPr>
        <xdr:cNvPr id="32" name="image4.png"/>
        <xdr:cNvPicPr/>
      </xdr:nvPicPr>
      <xdr:blipFill>
        <a:blip r:embed="rId2"/>
        <a:stretch/>
      </xdr:blipFill>
      <xdr:spPr>
        <a:xfrm>
          <a:off x="6858360" y="0"/>
          <a:ext cx="1285200" cy="1380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190440</xdr:colOff>
      <xdr:row>7</xdr:row>
      <xdr:rowOff>28440</xdr:rowOff>
    </xdr:from>
    <xdr:to>
      <xdr:col>18</xdr:col>
      <xdr:colOff>502560</xdr:colOff>
      <xdr:row>8</xdr:row>
      <xdr:rowOff>180360</xdr:rowOff>
    </xdr:to>
    <xdr:sp>
      <xdr:nvSpPr>
        <xdr:cNvPr id="33" name="Shape 23">
          <a:hlinkClick r:id="rId1"/>
        </xdr:cNvPr>
        <xdr:cNvSpPr/>
      </xdr:nvSpPr>
      <xdr:spPr>
        <a:xfrm>
          <a:off x="10575360" y="1361880"/>
          <a:ext cx="923040" cy="342360"/>
        </a:xfrm>
        <a:prstGeom prst="flowChartAlternateProcess">
          <a:avLst/>
        </a:prstGeom>
        <a:solidFill>
          <a:srgbClr val="4472c4"/>
        </a:solidFill>
        <a:ln w="12700">
          <a:solidFill>
            <a:srgbClr val="31538f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  <a:ea typeface="Calibri"/>
            </a:rPr>
            <a:t>VOLTAR </a:t>
          </a:r>
          <a:endParaRPr lang="pt-BR" sz="1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542880</xdr:colOff>
      <xdr:row>0</xdr:row>
      <xdr:rowOff>0</xdr:rowOff>
    </xdr:from>
    <xdr:to>
      <xdr:col>19</xdr:col>
      <xdr:colOff>128880</xdr:colOff>
      <xdr:row>8</xdr:row>
      <xdr:rowOff>9000</xdr:rowOff>
    </xdr:to>
    <xdr:pic>
      <xdr:nvPicPr>
        <xdr:cNvPr id="34" name="image5.png"/>
        <xdr:cNvPicPr/>
      </xdr:nvPicPr>
      <xdr:blipFill>
        <a:blip r:embed="rId2"/>
        <a:stretch/>
      </xdr:blipFill>
      <xdr:spPr>
        <a:xfrm>
          <a:off x="10316880" y="0"/>
          <a:ext cx="1418400" cy="1532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6</xdr:row>
      <xdr:rowOff>133200</xdr:rowOff>
    </xdr:from>
    <xdr:to>
      <xdr:col>6</xdr:col>
      <xdr:colOff>312480</xdr:colOff>
      <xdr:row>8</xdr:row>
      <xdr:rowOff>94680</xdr:rowOff>
    </xdr:to>
    <xdr:sp>
      <xdr:nvSpPr>
        <xdr:cNvPr id="35" name="Shape 24">
          <a:hlinkClick r:id="rId1"/>
        </xdr:cNvPr>
        <xdr:cNvSpPr/>
      </xdr:nvSpPr>
      <xdr:spPr>
        <a:xfrm>
          <a:off x="5294160" y="1276200"/>
          <a:ext cx="923040" cy="342360"/>
        </a:xfrm>
        <a:prstGeom prst="flowChartAlternateProcess">
          <a:avLst/>
        </a:prstGeom>
        <a:solidFill>
          <a:srgbClr val="4472c4"/>
        </a:solidFill>
        <a:ln w="12700">
          <a:solidFill>
            <a:srgbClr val="31538f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lang="en-US" sz="1400" b="1" u="none" strike="noStrike">
              <a:solidFill>
                <a:schemeClr val="lt1"/>
              </a:solidFill>
              <a:effectLst/>
              <a:uFillTx/>
              <a:latin typeface="Calibri"/>
              <a:ea typeface="Calibri"/>
            </a:rPr>
            <a:t>VOLTAR </a:t>
          </a:r>
          <a:endParaRPr lang="pt-BR" sz="14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_1" displayName="Table_1" ref="A8:B10" headerRowCount="1" totalsRowCount="0" totalsRowShown="0">
  <tableColumns count="2">
    <tableColumn id="1" name="Gênero"/>
    <tableColumn id="2" name="ALTURA ESTIMADA"/>
  </tableColumns>
</table>
</file>

<file path=xl/tables/table2.xml><?xml version="1.0" encoding="utf-8"?>
<table xmlns="http://schemas.openxmlformats.org/spreadsheetml/2006/main" id="2" name="Table_2" displayName="Table_2" ref="A12:B20" headerRowCount="1" totalsRowCount="0" totalsRowShown="0">
  <tableColumns count="2">
    <tableColumn id="1" name="Gênero"/>
    <tableColumn id="2" name="PESO ESTIMADO"/>
  </tableColumns>
</table>
</file>

<file path=xl/tables/table3.xml><?xml version="1.0" encoding="utf-8"?>
<table xmlns="http://schemas.openxmlformats.org/spreadsheetml/2006/main" id="3" name="Table_3" displayName="Table_3" ref="A43:C49" headerRowCount="1" totalsRowCount="0" totalsRowShown="0">
  <tableColumns count="3">
    <tableColumn id="1" name="Classificação IMC"/>
    <tableColumn id="2" name="OMS, 1997"/>
    <tableColumn id="3" name="OPAS, 2002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customHeight="true" zeroHeight="false" outlineLevelRow="0" outlineLevelCol="0"/>
  <cols>
    <col collapsed="false" customWidth="true" hidden="false" outlineLevel="0" max="26" min="1" style="1" width="8.67"/>
  </cols>
  <sheetData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DBAFB"/>
    <pageSetUpPr fitToPage="false"/>
  </sheetPr>
  <dimension ref="A1:M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2" activeCellId="0" sqref="P22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1" width="27.44"/>
    <col collapsed="false" customWidth="true" hidden="false" outlineLevel="0" max="2" min="2" style="1" width="19.88"/>
    <col collapsed="false" customWidth="true" hidden="false" outlineLevel="0" max="3" min="3" style="1" width="13.44"/>
    <col collapsed="false" customWidth="true" hidden="false" outlineLevel="0" max="4" min="4" style="1" width="17"/>
    <col collapsed="false" customWidth="true" hidden="false" outlineLevel="0" max="6" min="5" style="1" width="8.67"/>
    <col collapsed="false" customWidth="true" hidden="false" outlineLevel="0" max="7" min="7" style="1" width="17.88"/>
    <col collapsed="false" customWidth="true" hidden="false" outlineLevel="0" max="8" min="8" style="1" width="12.44"/>
    <col collapsed="false" customWidth="true" hidden="false" outlineLevel="0" max="11" min="9" style="1" width="8.67"/>
    <col collapsed="false" customWidth="true" hidden="false" outlineLevel="0" max="12" min="12" style="1" width="11.67"/>
    <col collapsed="false" customWidth="true" hidden="false" outlineLevel="0" max="26" min="13" style="1" width="8.67"/>
  </cols>
  <sheetData>
    <row r="1" customFormat="false" ht="15" hidden="false" customHeight="false" outlineLevel="0" collapsed="false">
      <c r="E1" s="2" t="s">
        <v>0</v>
      </c>
      <c r="F1" s="2"/>
    </row>
    <row r="2" customFormat="false" ht="15" hidden="false" customHeight="false" outlineLevel="0" collapsed="false">
      <c r="A2" s="3" t="s">
        <v>1</v>
      </c>
      <c r="B2" s="4" t="n">
        <v>20</v>
      </c>
      <c r="D2" s="5" t="s">
        <v>2</v>
      </c>
      <c r="E2" s="6" t="n">
        <v>1.6</v>
      </c>
    </row>
    <row r="3" customFormat="false" ht="15" hidden="false" customHeight="false" outlineLevel="0" collapsed="false">
      <c r="A3" s="3" t="s">
        <v>3</v>
      </c>
      <c r="B3" s="4" t="n">
        <v>52</v>
      </c>
    </row>
    <row r="4" customFormat="false" ht="15" hidden="false" customHeight="false" outlineLevel="0" collapsed="false">
      <c r="A4" s="3" t="s">
        <v>4</v>
      </c>
      <c r="B4" s="4" t="n">
        <v>68</v>
      </c>
      <c r="D4" s="7" t="s">
        <v>5</v>
      </c>
      <c r="E4" s="8" t="n">
        <f aca="false">(E2*E2)*22</f>
        <v>56.32</v>
      </c>
    </row>
    <row r="5" customFormat="false" ht="15" hidden="false" customHeight="false" outlineLevel="0" collapsed="false">
      <c r="A5" s="3" t="s">
        <v>6</v>
      </c>
      <c r="B5" s="4" t="n">
        <v>29</v>
      </c>
      <c r="D5" s="9" t="s">
        <v>7</v>
      </c>
      <c r="E5" s="8" t="n">
        <f aca="false">(E2*E2)*20.8</f>
        <v>53.248</v>
      </c>
    </row>
    <row r="6" customFormat="false" ht="15" hidden="false" customHeight="false" outlineLevel="0" collapsed="false">
      <c r="A6" s="3" t="s">
        <v>8</v>
      </c>
      <c r="B6" s="4" t="n">
        <v>30</v>
      </c>
      <c r="D6" s="10" t="s">
        <v>9</v>
      </c>
      <c r="E6" s="8" t="n">
        <f aca="false">(E2*E2)*25</f>
        <v>64</v>
      </c>
    </row>
    <row r="7" customFormat="false" ht="15" hidden="false" customHeight="false" outlineLevel="0" collapsed="false">
      <c r="A7" s="3" t="s">
        <v>10</v>
      </c>
      <c r="B7" s="4" t="n">
        <v>80</v>
      </c>
      <c r="E7" s="8"/>
    </row>
    <row r="8" customFormat="false" ht="15" hidden="false" customHeight="false" outlineLevel="0" collapsed="false">
      <c r="A8" s="11" t="s">
        <v>11</v>
      </c>
      <c r="B8" s="12" t="s">
        <v>12</v>
      </c>
      <c r="C8" s="13" t="s">
        <v>13</v>
      </c>
      <c r="E8" s="8"/>
    </row>
    <row r="9" customFormat="false" ht="15" hidden="false" customHeight="false" outlineLevel="0" collapsed="false">
      <c r="A9" s="7" t="s">
        <v>14</v>
      </c>
      <c r="B9" s="13" t="n">
        <f aca="false">64.19-(0.04*B4)+(2.02*B3)</f>
        <v>166.51</v>
      </c>
      <c r="D9" s="14" t="s">
        <v>15</v>
      </c>
      <c r="E9" s="15" t="n">
        <f aca="false">(E10-E11)*0.33+E11</f>
        <v>78.97</v>
      </c>
    </row>
    <row r="10" customFormat="false" ht="15" hidden="false" customHeight="false" outlineLevel="0" collapsed="false">
      <c r="A10" s="16" t="s">
        <v>16</v>
      </c>
      <c r="B10" s="13" t="n">
        <f aca="false">84.88-(0.24*B4)+(1.83*B3)</f>
        <v>163.72</v>
      </c>
      <c r="D10" s="17" t="s">
        <v>17</v>
      </c>
      <c r="E10" s="4" t="n">
        <v>85</v>
      </c>
      <c r="F10" s="13" t="s">
        <v>18</v>
      </c>
    </row>
    <row r="11" customFormat="false" ht="15" hidden="false" customHeight="false" outlineLevel="0" collapsed="false">
      <c r="D11" s="17" t="s">
        <v>19</v>
      </c>
      <c r="E11" s="4" t="n">
        <v>76</v>
      </c>
      <c r="F11" s="13" t="s">
        <v>20</v>
      </c>
    </row>
    <row r="12" customFormat="false" ht="15" hidden="false" customHeight="false" outlineLevel="0" collapsed="false">
      <c r="A12" s="13" t="s">
        <v>11</v>
      </c>
      <c r="B12" s="18" t="s">
        <v>21</v>
      </c>
      <c r="C12" s="13" t="s">
        <v>22</v>
      </c>
      <c r="G12" s="19" t="s">
        <v>23</v>
      </c>
      <c r="H12" s="19"/>
      <c r="I12" s="19"/>
      <c r="J12" s="19"/>
      <c r="L12" s="20" t="s">
        <v>24</v>
      </c>
      <c r="M12" s="21"/>
    </row>
    <row r="13" customFormat="false" ht="15" hidden="false" customHeight="false" outlineLevel="0" collapsed="false">
      <c r="A13" s="22" t="s">
        <v>25</v>
      </c>
      <c r="B13" s="13" t="n">
        <f aca="false">(B3*1.19)+(B2*3.14)-86.82</f>
        <v>37.86</v>
      </c>
      <c r="G13" s="23" t="s">
        <v>26</v>
      </c>
      <c r="H13" s="24" t="s">
        <v>27</v>
      </c>
      <c r="I13" s="25" t="s">
        <v>28</v>
      </c>
      <c r="J13" s="26"/>
      <c r="L13" s="27" t="s">
        <v>29</v>
      </c>
      <c r="M13" s="28" t="s">
        <v>30</v>
      </c>
    </row>
    <row r="14" customFormat="false" ht="15" hidden="false" customHeight="true" outlineLevel="0" collapsed="false">
      <c r="A14" s="22" t="s">
        <v>31</v>
      </c>
      <c r="B14" s="13" t="n">
        <f aca="false">(B3*1.1)+(B2*3.07)-75.81</f>
        <v>42.79</v>
      </c>
      <c r="G14" s="29" t="s">
        <v>32</v>
      </c>
      <c r="H14" s="30" t="n">
        <v>30</v>
      </c>
      <c r="I14" s="31" t="n">
        <v>26.7</v>
      </c>
      <c r="J14" s="30"/>
      <c r="L14" s="32" t="s">
        <v>33</v>
      </c>
      <c r="M14" s="33" t="s">
        <v>34</v>
      </c>
    </row>
    <row r="15" customFormat="false" ht="15" hidden="false" customHeight="true" outlineLevel="0" collapsed="false">
      <c r="A15" s="34" t="s">
        <v>35</v>
      </c>
      <c r="B15" s="13" t="n">
        <f aca="false">(B3*1.09)+(B2*3.14)-83.72</f>
        <v>35.76</v>
      </c>
      <c r="G15" s="35" t="s">
        <v>36</v>
      </c>
      <c r="H15" s="30" t="n">
        <v>30.5</v>
      </c>
      <c r="I15" s="31" t="n">
        <v>26.8</v>
      </c>
      <c r="J15" s="30"/>
      <c r="L15" s="32" t="s">
        <v>37</v>
      </c>
      <c r="M15" s="33" t="s">
        <v>38</v>
      </c>
    </row>
    <row r="16" customFormat="false" ht="15" hidden="false" customHeight="true" outlineLevel="0" collapsed="false">
      <c r="A16" s="34" t="s">
        <v>39</v>
      </c>
      <c r="B16" s="13" t="n">
        <f aca="false">(B3*0.44)+(B2*2.86)-39.21</f>
        <v>40.87</v>
      </c>
      <c r="G16" s="35" t="s">
        <v>40</v>
      </c>
      <c r="H16" s="30" t="n">
        <v>31.8</v>
      </c>
      <c r="I16" s="31" t="n">
        <v>28.1</v>
      </c>
      <c r="J16" s="30"/>
      <c r="L16" s="32" t="s">
        <v>41</v>
      </c>
      <c r="M16" s="33" t="s">
        <v>42</v>
      </c>
    </row>
    <row r="17" customFormat="false" ht="15" hidden="false" customHeight="true" outlineLevel="0" collapsed="false">
      <c r="A17" s="16" t="s">
        <v>43</v>
      </c>
      <c r="B17" s="13" t="n">
        <f aca="false">(B3*1.01)+(B2*2.81)-66.04</f>
        <v>42.68</v>
      </c>
      <c r="G17" s="29" t="s">
        <v>44</v>
      </c>
      <c r="H17" s="30" t="n">
        <v>32.3</v>
      </c>
      <c r="I17" s="31" t="n">
        <v>30.3</v>
      </c>
      <c r="J17" s="30"/>
      <c r="L17" s="32" t="s">
        <v>45</v>
      </c>
      <c r="M17" s="33" t="s">
        <v>46</v>
      </c>
    </row>
    <row r="18" customFormat="false" ht="15.75" hidden="false" customHeight="true" outlineLevel="0" collapsed="false">
      <c r="A18" s="16" t="s">
        <v>47</v>
      </c>
      <c r="B18" s="13" t="n">
        <f aca="false">(B3*1.09)+(B2*2.68)-65.51</f>
        <v>44.77</v>
      </c>
      <c r="G18" s="35" t="s">
        <v>48</v>
      </c>
      <c r="H18" s="30" t="n">
        <v>33</v>
      </c>
      <c r="I18" s="31" t="n">
        <v>31.4</v>
      </c>
      <c r="J18" s="30"/>
      <c r="L18" s="36" t="s">
        <v>49</v>
      </c>
      <c r="M18" s="37" t="s">
        <v>50</v>
      </c>
    </row>
    <row r="19" customFormat="false" ht="15" hidden="false" customHeight="true" outlineLevel="0" collapsed="false">
      <c r="A19" s="38" t="s">
        <v>51</v>
      </c>
      <c r="B19" s="13" t="n">
        <f aca="false">(B3*1.24)+(B2*2.97)-82.48</f>
        <v>41.4</v>
      </c>
      <c r="G19" s="35" t="s">
        <v>52</v>
      </c>
      <c r="H19" s="30" t="n">
        <v>32.6</v>
      </c>
      <c r="I19" s="31" t="n">
        <v>31.9</v>
      </c>
      <c r="J19" s="30"/>
    </row>
    <row r="20" customFormat="false" ht="15" hidden="false" customHeight="false" outlineLevel="0" collapsed="false">
      <c r="A20" s="38" t="s">
        <v>53</v>
      </c>
      <c r="B20" s="13" t="n">
        <f aca="false">(B3*1.5)+(B2*2.58)-84.22</f>
        <v>45.38</v>
      </c>
      <c r="G20" s="35" t="s">
        <v>54</v>
      </c>
      <c r="H20" s="30" t="n">
        <v>32</v>
      </c>
      <c r="I20" s="31" t="n">
        <v>31.4</v>
      </c>
      <c r="J20" s="30"/>
    </row>
    <row r="21" customFormat="false" ht="15.75" hidden="false" customHeight="true" outlineLevel="0" collapsed="false">
      <c r="G21" s="35" t="s">
        <v>55</v>
      </c>
      <c r="H21" s="30" t="n">
        <v>30.6</v>
      </c>
      <c r="I21" s="31" t="n">
        <v>29.9</v>
      </c>
      <c r="J21" s="30"/>
    </row>
    <row r="22" customFormat="false" ht="15.75" hidden="false" customHeight="true" outlineLevel="0" collapsed="false">
      <c r="G22" s="39" t="s">
        <v>56</v>
      </c>
      <c r="H22" s="40" t="n">
        <v>28.9</v>
      </c>
      <c r="I22" s="41" t="n">
        <v>27.8</v>
      </c>
      <c r="J22" s="40"/>
    </row>
    <row r="23" customFormat="false" ht="15.75" hidden="false" customHeight="true" outlineLevel="0" collapsed="false">
      <c r="B23" s="18" t="s">
        <v>21</v>
      </c>
      <c r="C23" s="13" t="s">
        <v>57</v>
      </c>
    </row>
    <row r="24" customFormat="false" ht="15.75" hidden="false" customHeight="true" outlineLevel="0" collapsed="false">
      <c r="A24" s="42" t="s">
        <v>14</v>
      </c>
      <c r="B24" s="13" t="n">
        <f aca="false">(B3*0.928+B2*2.508-B4*0.144)-42.543</f>
        <v>46.081</v>
      </c>
      <c r="G24" s="43" t="s">
        <v>58</v>
      </c>
      <c r="H24" s="4" t="n">
        <v>28</v>
      </c>
    </row>
    <row r="25" customFormat="false" ht="15.75" hidden="false" customHeight="true" outlineLevel="0" collapsed="false">
      <c r="A25" s="44" t="s">
        <v>16</v>
      </c>
      <c r="B25" s="13" t="n">
        <f aca="false">(B3*0.826+B2*2.116-B4*0.133)-31.486</f>
        <v>44.742</v>
      </c>
      <c r="G25" s="43" t="s">
        <v>59</v>
      </c>
      <c r="H25" s="4" t="n">
        <v>31.9</v>
      </c>
    </row>
    <row r="26" customFormat="false" ht="15.75" hidden="false" customHeight="true" outlineLevel="0" collapsed="false">
      <c r="G26" s="18" t="s">
        <v>60</v>
      </c>
      <c r="H26" s="45" t="n">
        <f aca="false">H24/H25*100</f>
        <v>87.7742946708464</v>
      </c>
    </row>
    <row r="27" customFormat="false" ht="15.75" hidden="false" customHeight="true" outlineLevel="0" collapsed="false">
      <c r="B27" s="18" t="s">
        <v>21</v>
      </c>
      <c r="C27" s="13" t="s">
        <v>61</v>
      </c>
    </row>
    <row r="28" customFormat="false" ht="15.75" hidden="false" customHeight="true" outlineLevel="0" collapsed="false">
      <c r="A28" s="42" t="s">
        <v>14</v>
      </c>
      <c r="B28" s="13" t="n">
        <f aca="false">0.5759*B2+0.5263*B7+1.2452*B5-4.8689*1-32.9241</f>
        <v>51.9398</v>
      </c>
    </row>
    <row r="29" customFormat="false" ht="15.75" hidden="false" customHeight="true" outlineLevel="0" collapsed="false">
      <c r="A29" s="44" t="s">
        <v>16</v>
      </c>
      <c r="B29" s="13" t="n">
        <f aca="false">0.5759*B2+0.5263*B7+1.2452*B5-4.8689*2-32.9241</f>
        <v>47.0709</v>
      </c>
      <c r="G29" s="43" t="s">
        <v>62</v>
      </c>
      <c r="H29" s="44" t="n">
        <v>29</v>
      </c>
      <c r="I29" s="13" t="s">
        <v>63</v>
      </c>
    </row>
    <row r="30" customFormat="false" ht="15.75" hidden="false" customHeight="true" outlineLevel="0" collapsed="false">
      <c r="G30" s="13" t="s">
        <v>64</v>
      </c>
      <c r="H30" s="13" t="s">
        <v>65</v>
      </c>
    </row>
    <row r="31" customFormat="false" ht="15.75" hidden="false" customHeight="true" outlineLevel="0" collapsed="false">
      <c r="G31" s="13" t="s">
        <v>66</v>
      </c>
      <c r="H31" s="13" t="s">
        <v>67</v>
      </c>
    </row>
    <row r="32" customFormat="false" ht="15.75" hidden="false" customHeight="true" outlineLevel="0" collapsed="false">
      <c r="A32" s="18" t="s">
        <v>68</v>
      </c>
      <c r="B32" s="45" t="n">
        <f aca="false">(B34-B33)*100/B34</f>
        <v>29.7297297297297</v>
      </c>
    </row>
    <row r="33" customFormat="false" ht="15.75" hidden="false" customHeight="true" outlineLevel="0" collapsed="false">
      <c r="A33" s="13" t="s">
        <v>17</v>
      </c>
      <c r="B33" s="13" t="n">
        <v>52</v>
      </c>
    </row>
    <row r="34" customFormat="false" ht="15.75" hidden="false" customHeight="true" outlineLevel="0" collapsed="false">
      <c r="A34" s="13" t="s">
        <v>69</v>
      </c>
      <c r="B34" s="13" t="n">
        <v>74</v>
      </c>
      <c r="G34" s="18" t="s">
        <v>70</v>
      </c>
      <c r="H34" s="18" t="s">
        <v>71</v>
      </c>
      <c r="J34" s="46" t="s">
        <v>72</v>
      </c>
      <c r="K34" s="46"/>
      <c r="L34" s="46"/>
      <c r="M34" s="47" t="n">
        <f aca="false">M35-((M35*M36)/100)</f>
        <v>56.666</v>
      </c>
    </row>
    <row r="35" customFormat="false" ht="15.75" hidden="false" customHeight="true" outlineLevel="0" collapsed="false">
      <c r="G35" s="48" t="s">
        <v>73</v>
      </c>
      <c r="H35" s="48" t="n">
        <v>0.7</v>
      </c>
      <c r="J35" s="49" t="s">
        <v>74</v>
      </c>
      <c r="K35" s="49"/>
      <c r="L35" s="49"/>
      <c r="M35" s="4" t="n">
        <v>58</v>
      </c>
    </row>
    <row r="36" customFormat="false" ht="15.75" hidden="false" customHeight="true" outlineLevel="0" collapsed="false">
      <c r="A36" s="50" t="s">
        <v>75</v>
      </c>
      <c r="B36" s="51" t="s">
        <v>76</v>
      </c>
      <c r="C36" s="52" t="s">
        <v>77</v>
      </c>
      <c r="G36" s="48" t="s">
        <v>78</v>
      </c>
      <c r="H36" s="48" t="n">
        <v>1.6</v>
      </c>
      <c r="J36" s="49" t="s">
        <v>79</v>
      </c>
      <c r="K36" s="49"/>
      <c r="L36" s="49"/>
      <c r="M36" s="4" t="n">
        <v>2.3</v>
      </c>
    </row>
    <row r="37" customFormat="false" ht="15.75" hidden="false" customHeight="true" outlineLevel="0" collapsed="false">
      <c r="A37" s="31" t="s">
        <v>80</v>
      </c>
      <c r="B37" s="53" t="s">
        <v>81</v>
      </c>
      <c r="C37" s="30" t="s">
        <v>82</v>
      </c>
      <c r="G37" s="48" t="s">
        <v>83</v>
      </c>
      <c r="H37" s="48" t="n">
        <v>2.3</v>
      </c>
    </row>
    <row r="38" customFormat="false" ht="15.75" hidden="false" customHeight="true" outlineLevel="0" collapsed="false">
      <c r="A38" s="31" t="s">
        <v>84</v>
      </c>
      <c r="B38" s="53" t="s">
        <v>85</v>
      </c>
      <c r="C38" s="30" t="s">
        <v>86</v>
      </c>
      <c r="G38" s="48" t="s">
        <v>87</v>
      </c>
      <c r="H38" s="48" t="n">
        <v>2.7</v>
      </c>
    </row>
    <row r="39" customFormat="false" ht="15.75" hidden="false" customHeight="true" outlineLevel="0" collapsed="false">
      <c r="A39" s="31" t="s">
        <v>88</v>
      </c>
      <c r="B39" s="53" t="s">
        <v>89</v>
      </c>
      <c r="C39" s="30" t="s">
        <v>90</v>
      </c>
      <c r="G39" s="48" t="s">
        <v>91</v>
      </c>
      <c r="H39" s="48" t="n">
        <v>5</v>
      </c>
    </row>
    <row r="40" customFormat="false" ht="15.75" hidden="false" customHeight="true" outlineLevel="0" collapsed="false">
      <c r="A40" s="41" t="s">
        <v>92</v>
      </c>
      <c r="B40" s="54" t="s">
        <v>93</v>
      </c>
      <c r="C40" s="40" t="s">
        <v>94</v>
      </c>
      <c r="G40" s="48" t="s">
        <v>95</v>
      </c>
      <c r="H40" s="48" t="n">
        <v>1.5</v>
      </c>
    </row>
    <row r="41" customFormat="false" ht="15.75" hidden="false" customHeight="true" outlineLevel="0" collapsed="false">
      <c r="A41" s="13" t="s">
        <v>96</v>
      </c>
      <c r="G41" s="48" t="s">
        <v>97</v>
      </c>
      <c r="H41" s="48" t="n">
        <v>4.4</v>
      </c>
    </row>
    <row r="42" customFormat="false" ht="15.75" hidden="false" customHeight="true" outlineLevel="0" collapsed="false">
      <c r="G42" s="48" t="s">
        <v>98</v>
      </c>
      <c r="H42" s="48" t="n">
        <v>16</v>
      </c>
    </row>
    <row r="43" customFormat="false" ht="15.75" hidden="false" customHeight="true" outlineLevel="0" collapsed="false">
      <c r="A43" s="11" t="s">
        <v>99</v>
      </c>
      <c r="B43" s="55" t="s">
        <v>100</v>
      </c>
      <c r="C43" s="12" t="s">
        <v>101</v>
      </c>
      <c r="G43" s="56" t="s">
        <v>102</v>
      </c>
    </row>
    <row r="44" customFormat="false" ht="15.75" hidden="false" customHeight="true" outlineLevel="0" collapsed="false">
      <c r="A44" s="57" t="s">
        <v>103</v>
      </c>
      <c r="B44" s="58" t="s">
        <v>104</v>
      </c>
      <c r="C44" s="58" t="s">
        <v>105</v>
      </c>
    </row>
    <row r="45" customFormat="false" ht="15.75" hidden="false" customHeight="true" outlineLevel="0" collapsed="false">
      <c r="A45" s="57" t="s">
        <v>41</v>
      </c>
      <c r="B45" s="58" t="s">
        <v>106</v>
      </c>
      <c r="C45" s="58" t="s">
        <v>107</v>
      </c>
    </row>
    <row r="46" customFormat="false" ht="15.75" hidden="false" customHeight="true" outlineLevel="0" collapsed="false">
      <c r="A46" s="57" t="s">
        <v>45</v>
      </c>
      <c r="B46" s="58" t="s">
        <v>108</v>
      </c>
      <c r="C46" s="58" t="s">
        <v>109</v>
      </c>
    </row>
    <row r="47" customFormat="false" ht="15.75" hidden="false" customHeight="true" outlineLevel="0" collapsed="false">
      <c r="A47" s="57" t="s">
        <v>110</v>
      </c>
      <c r="B47" s="58" t="s">
        <v>111</v>
      </c>
      <c r="C47" s="58" t="s">
        <v>112</v>
      </c>
    </row>
    <row r="48" customFormat="false" ht="15.75" hidden="false" customHeight="true" outlineLevel="0" collapsed="false">
      <c r="A48" s="57" t="s">
        <v>113</v>
      </c>
      <c r="B48" s="58" t="s">
        <v>114</v>
      </c>
      <c r="C48" s="58"/>
    </row>
    <row r="49" customFormat="false" ht="15.75" hidden="false" customHeight="true" outlineLevel="0" collapsed="false">
      <c r="A49" s="57" t="s">
        <v>115</v>
      </c>
      <c r="B49" s="58" t="s">
        <v>116</v>
      </c>
      <c r="C49" s="58"/>
    </row>
    <row r="50" customFormat="false" ht="15.75" hidden="false" customHeight="true" outlineLevel="0" collapsed="false"/>
    <row r="51" customFormat="false" ht="15.75" hidden="false" customHeight="true" outlineLevel="0" collapsed="false">
      <c r="A51" s="59" t="s">
        <v>117</v>
      </c>
      <c r="B51" s="60" t="n">
        <f aca="false">B52/(B53*B53)</f>
        <v>17.7154195011338</v>
      </c>
    </row>
    <row r="52" customFormat="false" ht="15.75" hidden="false" customHeight="true" outlineLevel="0" collapsed="false">
      <c r="A52" s="17" t="s">
        <v>118</v>
      </c>
      <c r="B52" s="4" t="n">
        <v>50</v>
      </c>
    </row>
    <row r="53" customFormat="false" ht="15.75" hidden="false" customHeight="true" outlineLevel="0" collapsed="false">
      <c r="A53" s="17" t="s">
        <v>119</v>
      </c>
      <c r="B53" s="4" t="n">
        <v>1.68</v>
      </c>
    </row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autoFilter ref="G13:G22"/>
  <mergeCells count="3">
    <mergeCell ref="E1:F1"/>
    <mergeCell ref="G12:J12"/>
    <mergeCell ref="J34:L3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K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1" width="10.33"/>
    <col collapsed="false" customWidth="true" hidden="false" outlineLevel="0" max="2" min="2" style="1" width="12"/>
    <col collapsed="false" customWidth="true" hidden="false" outlineLevel="0" max="3" min="3" style="1" width="12.33"/>
    <col collapsed="false" customWidth="true" hidden="false" outlineLevel="0" max="4" min="4" style="1" width="8.67"/>
    <col collapsed="false" customWidth="true" hidden="false" outlineLevel="0" max="5" min="5" style="1" width="12.56"/>
    <col collapsed="false" customWidth="true" hidden="false" outlineLevel="0" max="6" min="6" style="1" width="12.67"/>
    <col collapsed="false" customWidth="true" hidden="false" outlineLevel="0" max="26" min="7" style="1" width="8.67"/>
  </cols>
  <sheetData>
    <row r="1" customFormat="false" ht="15" hidden="false" customHeight="false" outlineLevel="0" collapsed="false">
      <c r="A1" s="61" t="s">
        <v>120</v>
      </c>
      <c r="B1" s="61"/>
      <c r="C1" s="61"/>
      <c r="I1" s="62"/>
      <c r="J1" s="62"/>
      <c r="K1" s="62"/>
    </row>
    <row r="2" customFormat="false" ht="15" hidden="false" customHeight="false" outlineLevel="0" collapsed="false">
      <c r="A2" s="63"/>
      <c r="B2" s="18" t="s">
        <v>121</v>
      </c>
      <c r="C2" s="18" t="s">
        <v>122</v>
      </c>
      <c r="E2" s="64" t="s">
        <v>123</v>
      </c>
      <c r="F2" s="65" t="n">
        <v>55</v>
      </c>
      <c r="I2" s="62"/>
    </row>
    <row r="3" customFormat="false" ht="15" hidden="false" customHeight="false" outlineLevel="0" collapsed="false">
      <c r="A3" s="66" t="s">
        <v>124</v>
      </c>
      <c r="B3" s="67" t="s">
        <v>125</v>
      </c>
      <c r="C3" s="66" t="s">
        <v>126</v>
      </c>
      <c r="E3" s="64" t="s">
        <v>19</v>
      </c>
      <c r="F3" s="65" t="n">
        <v>53</v>
      </c>
    </row>
    <row r="4" customFormat="false" ht="15" hidden="false" customHeight="false" outlineLevel="0" collapsed="false">
      <c r="A4" s="13" t="s">
        <v>127</v>
      </c>
      <c r="B4" s="68" t="n">
        <f aca="false">15*F2</f>
        <v>825</v>
      </c>
      <c r="C4" s="68" t="n">
        <f aca="false">25*F2</f>
        <v>1375</v>
      </c>
      <c r="F4" s="69" t="s">
        <v>128</v>
      </c>
      <c r="G4" s="69"/>
      <c r="H4" s="69"/>
      <c r="I4" s="69"/>
      <c r="J4" s="69"/>
      <c r="K4" s="69"/>
    </row>
    <row r="5" customFormat="false" ht="15" hidden="false" customHeight="false" outlineLevel="0" collapsed="false">
      <c r="A5" s="13" t="s">
        <v>129</v>
      </c>
      <c r="B5" s="68" t="n">
        <f aca="false">20*F2</f>
        <v>1100</v>
      </c>
      <c r="C5" s="68" t="n">
        <f aca="false">30*F2</f>
        <v>1650</v>
      </c>
      <c r="F5" s="13" t="s">
        <v>130</v>
      </c>
      <c r="G5" s="4" t="n">
        <v>25</v>
      </c>
      <c r="H5" s="13" t="s">
        <v>131</v>
      </c>
    </row>
    <row r="6" customFormat="false" ht="15" hidden="false" customHeight="false" outlineLevel="0" collapsed="false">
      <c r="A6" s="66" t="s">
        <v>132</v>
      </c>
      <c r="B6" s="67" t="s">
        <v>133</v>
      </c>
      <c r="C6" s="66" t="s">
        <v>134</v>
      </c>
      <c r="F6" s="13" t="s">
        <v>135</v>
      </c>
      <c r="G6" s="4" t="n">
        <v>1.8</v>
      </c>
      <c r="H6" s="13" t="s">
        <v>131</v>
      </c>
    </row>
    <row r="7" customFormat="false" ht="15" hidden="false" customHeight="false" outlineLevel="0" collapsed="false">
      <c r="A7" s="13" t="s">
        <v>127</v>
      </c>
      <c r="B7" s="68" t="n">
        <f aca="false">1.2*F2</f>
        <v>66</v>
      </c>
      <c r="C7" s="68" t="n">
        <f aca="false">1.5*F2</f>
        <v>82.5</v>
      </c>
      <c r="G7" s="70"/>
    </row>
    <row r="8" customFormat="false" ht="15" hidden="false" customHeight="false" outlineLevel="0" collapsed="false">
      <c r="A8" s="13" t="s">
        <v>129</v>
      </c>
      <c r="B8" s="68" t="n">
        <f aca="false">1.5*F2</f>
        <v>82.5</v>
      </c>
      <c r="C8" s="68" t="n">
        <f aca="false">2*F2</f>
        <v>110</v>
      </c>
      <c r="F8" s="18" t="s">
        <v>136</v>
      </c>
      <c r="G8" s="18" t="n">
        <f aca="false">G5*F2</f>
        <v>1375</v>
      </c>
    </row>
    <row r="9" customFormat="false" ht="15" hidden="false" customHeight="false" outlineLevel="0" collapsed="false">
      <c r="A9" s="13" t="s">
        <v>137</v>
      </c>
      <c r="B9" s="68" t="n">
        <f aca="false">F2*1.8</f>
        <v>99</v>
      </c>
      <c r="C9" s="68"/>
      <c r="F9" s="18" t="s">
        <v>138</v>
      </c>
      <c r="G9" s="18" t="n">
        <f aca="false">G6*F2</f>
        <v>99</v>
      </c>
    </row>
    <row r="10" customFormat="false" ht="15" hidden="false" customHeight="false" outlineLevel="0" collapsed="false">
      <c r="A10" s="13" t="s">
        <v>139</v>
      </c>
      <c r="B10" s="68" t="n">
        <f aca="false">2*F2</f>
        <v>110</v>
      </c>
      <c r="C10" s="68"/>
    </row>
    <row r="13" customFormat="false" ht="15" hidden="false" customHeight="false" outlineLevel="0" collapsed="false">
      <c r="A13" s="71" t="s">
        <v>140</v>
      </c>
      <c r="B13" s="43" t="s">
        <v>141</v>
      </c>
      <c r="C13" s="43" t="s">
        <v>142</v>
      </c>
    </row>
    <row r="14" customFormat="false" ht="15" hidden="false" customHeight="false" outlineLevel="0" collapsed="false">
      <c r="A14" s="66" t="s">
        <v>124</v>
      </c>
      <c r="B14" s="18" t="s">
        <v>143</v>
      </c>
      <c r="C14" s="18" t="s">
        <v>144</v>
      </c>
    </row>
    <row r="15" customFormat="false" ht="15" hidden="false" customHeight="false" outlineLevel="0" collapsed="false">
      <c r="A15" s="13" t="s">
        <v>145</v>
      </c>
      <c r="B15" s="68" t="n">
        <f aca="false">11*F2</f>
        <v>605</v>
      </c>
      <c r="C15" s="68" t="n">
        <f aca="false">22*F3</f>
        <v>1166</v>
      </c>
    </row>
    <row r="16" customFormat="false" ht="15" hidden="false" customHeight="false" outlineLevel="0" collapsed="false">
      <c r="A16" s="13" t="s">
        <v>146</v>
      </c>
      <c r="B16" s="68" t="n">
        <f aca="false">14*F2</f>
        <v>770</v>
      </c>
      <c r="C16" s="68" t="n">
        <f aca="false">25*F3</f>
        <v>1325</v>
      </c>
    </row>
    <row r="17" customFormat="false" ht="15" hidden="false" customHeight="false" outlineLevel="0" collapsed="false">
      <c r="A17" s="66" t="s">
        <v>132</v>
      </c>
      <c r="B17" s="68" t="n">
        <f aca="false">2*F3</f>
        <v>106</v>
      </c>
      <c r="C17" s="68" t="n">
        <f aca="false">2.5*F3</f>
        <v>132.5</v>
      </c>
    </row>
    <row r="18" customFormat="false" ht="15" hidden="false" customHeight="false" outlineLevel="0" collapsed="false">
      <c r="B18" s="43" t="s">
        <v>141</v>
      </c>
      <c r="C18" s="43" t="s">
        <v>147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C1"/>
    <mergeCell ref="F4:K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BF7"/>
    <pageSetUpPr fitToPage="false"/>
  </sheetPr>
  <dimension ref="A1:V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1" width="28.67"/>
    <col collapsed="false" customWidth="true" hidden="false" outlineLevel="0" max="2" min="2" style="1" width="10.44"/>
    <col collapsed="false" customWidth="true" hidden="false" outlineLevel="0" max="3" min="3" style="1" width="8.67"/>
    <col collapsed="false" customWidth="true" hidden="false" outlineLevel="0" max="4" min="4" style="1" width="9.11"/>
    <col collapsed="false" customWidth="true" hidden="false" outlineLevel="0" max="11" min="5" style="1" width="8.67"/>
    <col collapsed="false" customWidth="true" hidden="false" outlineLevel="0" max="12" min="12" style="1" width="15.66"/>
    <col collapsed="false" customWidth="true" hidden="false" outlineLevel="0" max="13" min="13" style="1" width="12.44"/>
    <col collapsed="false" customWidth="true" hidden="false" outlineLevel="0" max="14" min="14" style="1" width="16.11"/>
    <col collapsed="false" customWidth="true" hidden="false" outlineLevel="0" max="15" min="15" style="1" width="8.67"/>
    <col collapsed="false" customWidth="true" hidden="false" outlineLevel="0" max="16" min="16" style="1" width="11.33"/>
    <col collapsed="false" customWidth="true" hidden="false" outlineLevel="0" max="17" min="17" style="1" width="11.89"/>
    <col collapsed="false" customWidth="true" hidden="false" outlineLevel="0" max="18" min="18" style="1" width="16.67"/>
    <col collapsed="false" customWidth="true" hidden="false" outlineLevel="0" max="19" min="19" style="1" width="18.88"/>
    <col collapsed="false" customWidth="true" hidden="false" outlineLevel="0" max="21" min="20" style="1" width="8.67"/>
    <col collapsed="false" customWidth="true" hidden="false" outlineLevel="0" max="22" min="22" style="1" width="12.33"/>
    <col collapsed="false" customWidth="true" hidden="false" outlineLevel="0" max="29" min="23" style="1" width="8.67"/>
  </cols>
  <sheetData>
    <row r="1" customFormat="false" ht="15" hidden="false" customHeight="false" outlineLevel="0" collapsed="false">
      <c r="A1" s="18" t="s">
        <v>148</v>
      </c>
      <c r="B1" s="18" t="s">
        <v>149</v>
      </c>
      <c r="C1" s="18" t="s">
        <v>150</v>
      </c>
      <c r="D1" s="18" t="s">
        <v>151</v>
      </c>
      <c r="E1" s="18" t="s">
        <v>152</v>
      </c>
      <c r="F1" s="18" t="s">
        <v>153</v>
      </c>
      <c r="G1" s="18" t="s">
        <v>150</v>
      </c>
      <c r="H1" s="18" t="s">
        <v>154</v>
      </c>
      <c r="I1" s="18" t="s">
        <v>155</v>
      </c>
      <c r="J1" s="18" t="s">
        <v>156</v>
      </c>
      <c r="K1" s="18" t="s">
        <v>157</v>
      </c>
      <c r="L1" s="72" t="s">
        <v>158</v>
      </c>
      <c r="M1" s="72" t="s">
        <v>159</v>
      </c>
      <c r="N1" s="72" t="s">
        <v>160</v>
      </c>
      <c r="O1" s="18" t="s">
        <v>118</v>
      </c>
      <c r="P1" s="4" t="n">
        <v>70</v>
      </c>
      <c r="R1" s="73" t="s">
        <v>161</v>
      </c>
    </row>
    <row r="2" customFormat="false" ht="15" hidden="false" customHeight="false" outlineLevel="0" collapsed="false">
      <c r="A2" s="74" t="s">
        <v>162</v>
      </c>
      <c r="B2" s="74" t="n">
        <v>1.24</v>
      </c>
      <c r="C2" s="74" t="n">
        <v>65</v>
      </c>
      <c r="D2" s="4"/>
      <c r="E2" s="43" t="n">
        <f aca="false">D2*S2</f>
        <v>0</v>
      </c>
      <c r="F2" s="43" t="n">
        <f aca="false">B2*E2</f>
        <v>0</v>
      </c>
      <c r="G2" s="43" t="n">
        <f aca="false">C2*E2/1000</f>
        <v>0</v>
      </c>
      <c r="H2" s="75" t="n">
        <f aca="false">F2/P1</f>
        <v>0</v>
      </c>
      <c r="I2" s="75" t="n">
        <f aca="false">G2/P1</f>
        <v>0</v>
      </c>
      <c r="J2" s="75" t="n">
        <f aca="false">F2*100/P4</f>
        <v>0</v>
      </c>
      <c r="K2" s="75" t="n">
        <f aca="false">G2*100/P5</f>
        <v>0</v>
      </c>
      <c r="L2" s="76" t="n">
        <f aca="false">(P4/B2)/S2</f>
        <v>51.3196480938416</v>
      </c>
      <c r="M2" s="77" t="n">
        <f aca="false">(L2*S2*C2)/1000</f>
        <v>73.3870967741936</v>
      </c>
      <c r="N2" s="77" t="n">
        <f aca="false">P5-G2</f>
        <v>75</v>
      </c>
      <c r="O2" s="18" t="s">
        <v>119</v>
      </c>
      <c r="P2" s="4" t="n">
        <v>1.8</v>
      </c>
      <c r="R2" s="13" t="s">
        <v>163</v>
      </c>
      <c r="S2" s="4" t="n">
        <v>22</v>
      </c>
    </row>
    <row r="3" customFormat="false" ht="15" hidden="false" customHeight="false" outlineLevel="0" collapsed="false">
      <c r="A3" s="74" t="s">
        <v>164</v>
      </c>
      <c r="B3" s="74" t="n">
        <v>1</v>
      </c>
      <c r="C3" s="74" t="n">
        <v>38</v>
      </c>
      <c r="D3" s="4" t="n">
        <v>69</v>
      </c>
      <c r="E3" s="43" t="n">
        <f aca="false">D3*S2</f>
        <v>1518</v>
      </c>
      <c r="F3" s="43" t="n">
        <f aca="false">B3*E3</f>
        <v>1518</v>
      </c>
      <c r="G3" s="43" t="n">
        <f aca="false">C3*E3/1000</f>
        <v>57.684</v>
      </c>
      <c r="H3" s="75" t="n">
        <f aca="false">F3/P1</f>
        <v>21.6857142857143</v>
      </c>
      <c r="I3" s="75" t="n">
        <f aca="false">G3/P1</f>
        <v>0.824057142857143</v>
      </c>
      <c r="J3" s="75" t="n">
        <f aca="false">F3*100/P4</f>
        <v>108.428571428571</v>
      </c>
      <c r="K3" s="75" t="n">
        <f aca="false">G3*100/P5</f>
        <v>76.912</v>
      </c>
      <c r="L3" s="76" t="n">
        <f aca="false">(P4/B3)/S2</f>
        <v>63.6363636363636</v>
      </c>
      <c r="M3" s="77" t="n">
        <f aca="false">(L3*S2*C3)/1000</f>
        <v>53.2</v>
      </c>
      <c r="N3" s="77" t="n">
        <f aca="false">P5-G3</f>
        <v>17.316</v>
      </c>
    </row>
    <row r="4" customFormat="false" ht="15" hidden="false" customHeight="false" outlineLevel="0" collapsed="false">
      <c r="A4" s="74" t="s">
        <v>165</v>
      </c>
      <c r="B4" s="74" t="n">
        <v>1</v>
      </c>
      <c r="C4" s="74" t="n">
        <v>38</v>
      </c>
      <c r="D4" s="4"/>
      <c r="E4" s="43" t="n">
        <f aca="false">D4*S2</f>
        <v>0</v>
      </c>
      <c r="F4" s="43" t="n">
        <f aca="false">B4*E4</f>
        <v>0</v>
      </c>
      <c r="G4" s="43" t="n">
        <f aca="false">C4*E4/1000</f>
        <v>0</v>
      </c>
      <c r="H4" s="75" t="n">
        <f aca="false">F4/P1</f>
        <v>0</v>
      </c>
      <c r="I4" s="75" t="n">
        <f aca="false">G4/P1</f>
        <v>0</v>
      </c>
      <c r="J4" s="75" t="n">
        <f aca="false">F4*100/P4</f>
        <v>0</v>
      </c>
      <c r="K4" s="75" t="n">
        <f aca="false">G4*100/P5</f>
        <v>0</v>
      </c>
      <c r="L4" s="76" t="n">
        <f aca="false">(P4/B4)/S2</f>
        <v>63.6363636363636</v>
      </c>
      <c r="M4" s="77" t="n">
        <f aca="false">(L4*S2*C4)/1000</f>
        <v>53.2</v>
      </c>
      <c r="N4" s="77" t="n">
        <f aca="false">P5-G4</f>
        <v>75</v>
      </c>
      <c r="O4" s="18" t="s">
        <v>166</v>
      </c>
      <c r="P4" s="4" t="n">
        <v>1400</v>
      </c>
    </row>
    <row r="5" customFormat="false" ht="15" hidden="false" customHeight="false" outlineLevel="0" collapsed="false">
      <c r="A5" s="74" t="s">
        <v>167</v>
      </c>
      <c r="B5" s="74" t="n">
        <v>1</v>
      </c>
      <c r="C5" s="74" t="n">
        <v>38</v>
      </c>
      <c r="D5" s="4"/>
      <c r="E5" s="43" t="n">
        <f aca="false">D5*S2</f>
        <v>0</v>
      </c>
      <c r="F5" s="43" t="n">
        <f aca="false">B5*E5</f>
        <v>0</v>
      </c>
      <c r="G5" s="43" t="n">
        <f aca="false">C5*E5/1000</f>
        <v>0</v>
      </c>
      <c r="H5" s="75" t="n">
        <f aca="false">F5/P4</f>
        <v>0</v>
      </c>
      <c r="I5" s="75" t="n">
        <f aca="false">G5/P1</f>
        <v>0</v>
      </c>
      <c r="J5" s="75" t="n">
        <f aca="false">F5*100/P4</f>
        <v>0</v>
      </c>
      <c r="K5" s="75" t="n">
        <f aca="false">G5*100/P5</f>
        <v>0</v>
      </c>
      <c r="L5" s="76" t="n">
        <f aca="false">(P4/B5)/S2</f>
        <v>63.6363636363636</v>
      </c>
      <c r="M5" s="77" t="n">
        <f aca="false">(L5*S2*C5)/1000</f>
        <v>53.2</v>
      </c>
      <c r="N5" s="77" t="n">
        <f aca="false">P5-G5</f>
        <v>75</v>
      </c>
      <c r="O5" s="18" t="s">
        <v>168</v>
      </c>
      <c r="P5" s="4" t="n">
        <v>75</v>
      </c>
    </row>
    <row r="6" customFormat="false" ht="15" hidden="false" customHeight="false" outlineLevel="0" collapsed="false">
      <c r="A6" s="74" t="s">
        <v>169</v>
      </c>
      <c r="B6" s="74" t="n">
        <v>1.2</v>
      </c>
      <c r="C6" s="74" t="n">
        <v>60</v>
      </c>
      <c r="D6" s="4"/>
      <c r="E6" s="43" t="n">
        <f aca="false">D6*S2</f>
        <v>0</v>
      </c>
      <c r="F6" s="43" t="n">
        <f aca="false">B6*E6</f>
        <v>0</v>
      </c>
      <c r="G6" s="43" t="n">
        <f aca="false">C6*E6/1000</f>
        <v>0</v>
      </c>
      <c r="H6" s="75" t="n">
        <f aca="false">F6/P5</f>
        <v>0</v>
      </c>
      <c r="I6" s="75" t="n">
        <f aca="false">G6/P1</f>
        <v>0</v>
      </c>
      <c r="J6" s="75" t="n">
        <f aca="false">F6*100/P4</f>
        <v>0</v>
      </c>
      <c r="K6" s="75" t="n">
        <f aca="false">G6*100/P5</f>
        <v>0</v>
      </c>
      <c r="L6" s="76" t="n">
        <f aca="false">(P4/B6)/S2</f>
        <v>53.030303030303</v>
      </c>
      <c r="M6" s="77" t="n">
        <f aca="false">(L6*S2*C6)/1000</f>
        <v>70</v>
      </c>
      <c r="N6" s="77" t="n">
        <f aca="false">P5-G6</f>
        <v>75</v>
      </c>
    </row>
    <row r="7" customFormat="false" ht="15" hidden="false" customHeight="false" outlineLevel="0" collapsed="false">
      <c r="A7" s="74" t="s">
        <v>170</v>
      </c>
      <c r="B7" s="74" t="n">
        <v>1</v>
      </c>
      <c r="C7" s="74" t="n">
        <v>40</v>
      </c>
      <c r="D7" s="4" t="n">
        <v>69</v>
      </c>
      <c r="E7" s="43" t="n">
        <f aca="false">D7*S2</f>
        <v>1518</v>
      </c>
      <c r="F7" s="43" t="n">
        <f aca="false">B7*E7</f>
        <v>1518</v>
      </c>
      <c r="G7" s="43" t="n">
        <f aca="false">C7*E7/1000</f>
        <v>60.72</v>
      </c>
      <c r="H7" s="75" t="n">
        <f aca="false">F7/P1</f>
        <v>21.6857142857143</v>
      </c>
      <c r="I7" s="75" t="n">
        <f aca="false">G7/P1</f>
        <v>0.867428571428571</v>
      </c>
      <c r="J7" s="75" t="n">
        <f aca="false">F7*100/P4</f>
        <v>108.428571428571</v>
      </c>
      <c r="K7" s="75" t="n">
        <f aca="false">G7*100/P5</f>
        <v>80.96</v>
      </c>
      <c r="L7" s="76" t="n">
        <f aca="false">(P4/B7)/S2</f>
        <v>63.6363636363636</v>
      </c>
      <c r="M7" s="77" t="n">
        <f aca="false">(L7*S2*C7)/1000</f>
        <v>56</v>
      </c>
      <c r="N7" s="77" t="n">
        <f aca="false">P5-G7</f>
        <v>14.28</v>
      </c>
    </row>
    <row r="8" customFormat="false" ht="15" hidden="false" customHeight="false" outlineLevel="0" collapsed="false">
      <c r="A8" s="74" t="s">
        <v>171</v>
      </c>
      <c r="B8" s="74" t="n">
        <v>1.2</v>
      </c>
      <c r="C8" s="74" t="n">
        <v>48</v>
      </c>
      <c r="D8" s="4"/>
      <c r="E8" s="43" t="n">
        <f aca="false">D8*S2</f>
        <v>0</v>
      </c>
      <c r="F8" s="43" t="n">
        <f aca="false">B8*E8</f>
        <v>0</v>
      </c>
      <c r="G8" s="43" t="n">
        <f aca="false">C8*E8/1000</f>
        <v>0</v>
      </c>
      <c r="H8" s="75" t="n">
        <f aca="false">F8/P1</f>
        <v>0</v>
      </c>
      <c r="I8" s="75" t="n">
        <f aca="false">G8/P1</f>
        <v>0</v>
      </c>
      <c r="J8" s="75" t="n">
        <f aca="false">F8*100/P4</f>
        <v>0</v>
      </c>
      <c r="K8" s="75" t="n">
        <f aca="false">G8*100/P5</f>
        <v>0</v>
      </c>
      <c r="L8" s="76" t="n">
        <f aca="false">(P4/B8)/S2</f>
        <v>53.030303030303</v>
      </c>
      <c r="M8" s="77" t="n">
        <f aca="false">(L8*S2*C8)/1000</f>
        <v>56</v>
      </c>
      <c r="N8" s="77" t="n">
        <f aca="false">P5-G8</f>
        <v>75</v>
      </c>
      <c r="R8" s="78" t="s">
        <v>172</v>
      </c>
      <c r="S8" s="78"/>
    </row>
    <row r="9" customFormat="false" ht="15" hidden="false" customHeight="false" outlineLevel="0" collapsed="false">
      <c r="A9" s="74" t="s">
        <v>173</v>
      </c>
      <c r="B9" s="74" t="n">
        <v>1</v>
      </c>
      <c r="C9" s="74" t="n">
        <v>40</v>
      </c>
      <c r="D9" s="4"/>
      <c r="E9" s="43" t="n">
        <f aca="false">D9*S2</f>
        <v>0</v>
      </c>
      <c r="F9" s="43" t="n">
        <f aca="false">B9*E9</f>
        <v>0</v>
      </c>
      <c r="G9" s="43" t="n">
        <f aca="false">C9*E9/1000</f>
        <v>0</v>
      </c>
      <c r="H9" s="75" t="n">
        <f aca="false">F9/P1</f>
        <v>0</v>
      </c>
      <c r="I9" s="75" t="n">
        <f aca="false">G9/P1</f>
        <v>0</v>
      </c>
      <c r="J9" s="75" t="n">
        <f aca="false">F9*100/P4</f>
        <v>0</v>
      </c>
      <c r="K9" s="75" t="n">
        <f aca="false">G9*100/P5</f>
        <v>0</v>
      </c>
      <c r="L9" s="76" t="n">
        <f aca="false">(P4/B9)/S2</f>
        <v>63.6363636363636</v>
      </c>
      <c r="M9" s="77" t="n">
        <f aca="false">(L9*S2*C9)/1000</f>
        <v>56</v>
      </c>
      <c r="N9" s="77" t="n">
        <f aca="false">P5-G9</f>
        <v>75</v>
      </c>
    </row>
    <row r="10" customFormat="false" ht="16.15" hidden="false" customHeight="false" outlineLevel="0" collapsed="false">
      <c r="A10" s="74" t="s">
        <v>174</v>
      </c>
      <c r="B10" s="74" t="n">
        <v>1.2</v>
      </c>
      <c r="C10" s="74" t="n">
        <v>44</v>
      </c>
      <c r="D10" s="4"/>
      <c r="E10" s="43" t="n">
        <f aca="false">D10*S2</f>
        <v>0</v>
      </c>
      <c r="F10" s="43" t="n">
        <f aca="false">B10*E10</f>
        <v>0</v>
      </c>
      <c r="G10" s="43" t="n">
        <f aca="false">C10*E10/1000</f>
        <v>0</v>
      </c>
      <c r="H10" s="75" t="n">
        <f aca="false">F10/P1</f>
        <v>0</v>
      </c>
      <c r="I10" s="75" t="n">
        <f aca="false">G10/P1</f>
        <v>0</v>
      </c>
      <c r="J10" s="75" t="n">
        <f aca="false">F10*100/P4</f>
        <v>0</v>
      </c>
      <c r="K10" s="75" t="n">
        <f aca="false">G10*100/P5</f>
        <v>0</v>
      </c>
      <c r="L10" s="76" t="n">
        <f aca="false">(P4/B10)/S2</f>
        <v>53.030303030303</v>
      </c>
      <c r="M10" s="77" t="n">
        <f aca="false">(L10*S2*C10)/1000</f>
        <v>51.3333333333333</v>
      </c>
      <c r="N10" s="77" t="n">
        <f aca="false">P5-G10</f>
        <v>75</v>
      </c>
      <c r="R10" s="79" t="s">
        <v>175</v>
      </c>
      <c r="S10" s="79" t="s">
        <v>176</v>
      </c>
      <c r="T10" s="79" t="s">
        <v>177</v>
      </c>
      <c r="U10" s="79"/>
      <c r="V10" s="79" t="s">
        <v>178</v>
      </c>
    </row>
    <row r="11" customFormat="false" ht="15" hidden="false" customHeight="false" outlineLevel="0" collapsed="false">
      <c r="A11" s="74" t="s">
        <v>179</v>
      </c>
      <c r="B11" s="74" t="n">
        <v>1.23</v>
      </c>
      <c r="C11" s="74" t="n">
        <v>43</v>
      </c>
      <c r="D11" s="4"/>
      <c r="E11" s="43" t="n">
        <f aca="false">D11*S2</f>
        <v>0</v>
      </c>
      <c r="F11" s="43" t="n">
        <f aca="false">B11*E11</f>
        <v>0</v>
      </c>
      <c r="G11" s="43" t="n">
        <f aca="false">C11*E11/1000</f>
        <v>0</v>
      </c>
      <c r="H11" s="75" t="n">
        <f aca="false">F11/P1</f>
        <v>0</v>
      </c>
      <c r="I11" s="75" t="n">
        <f aca="false">G11/P1</f>
        <v>0</v>
      </c>
      <c r="J11" s="75" t="n">
        <f aca="false">F11*100/P4</f>
        <v>0</v>
      </c>
      <c r="K11" s="75" t="n">
        <f aca="false">G11*100/P5</f>
        <v>0</v>
      </c>
      <c r="L11" s="76" t="n">
        <f aca="false">(P4/B11)/S2</f>
        <v>51.7368810051737</v>
      </c>
      <c r="M11" s="77" t="n">
        <f aca="false">(L11*S2*C11)/1000</f>
        <v>48.9430894308943</v>
      </c>
      <c r="N11" s="77" t="n">
        <f aca="false">P11-G11</f>
        <v>0</v>
      </c>
      <c r="Q11" s="80" t="s">
        <v>180</v>
      </c>
      <c r="R11" s="81" t="n">
        <f aca="false">P4*25/100</f>
        <v>350</v>
      </c>
      <c r="S11" s="82" t="n">
        <f aca="false">R11/1.5/S2</f>
        <v>10.6060606060606</v>
      </c>
      <c r="T11" s="82" t="n">
        <f aca="false">R11/1.2/S2</f>
        <v>13.2575757575758</v>
      </c>
      <c r="U11" s="81"/>
      <c r="V11" s="83" t="n">
        <f aca="false">R11/S2</f>
        <v>15.9090909090909</v>
      </c>
    </row>
    <row r="12" customFormat="false" ht="15" hidden="false" customHeight="false" outlineLevel="0" collapsed="false">
      <c r="A12" s="74" t="s">
        <v>181</v>
      </c>
      <c r="B12" s="74" t="n">
        <v>1.21</v>
      </c>
      <c r="C12" s="74" t="n">
        <v>44</v>
      </c>
      <c r="D12" s="4"/>
      <c r="E12" s="43" t="n">
        <f aca="false">D12*S2</f>
        <v>0</v>
      </c>
      <c r="F12" s="43" t="n">
        <f aca="false">B12*E12</f>
        <v>0</v>
      </c>
      <c r="G12" s="43" t="n">
        <f aca="false">C12*E12/1000</f>
        <v>0</v>
      </c>
      <c r="H12" s="75" t="n">
        <f aca="false">F12/P1</f>
        <v>0</v>
      </c>
      <c r="I12" s="75" t="n">
        <f aca="false">G12/P1</f>
        <v>0</v>
      </c>
      <c r="J12" s="75" t="n">
        <f aca="false">F12*100/P4</f>
        <v>0</v>
      </c>
      <c r="K12" s="75" t="n">
        <f aca="false">G12*100/P5</f>
        <v>0</v>
      </c>
      <c r="L12" s="76" t="n">
        <f aca="false">(P4/B12)/S2</f>
        <v>52.5920360631104</v>
      </c>
      <c r="M12" s="77" t="n">
        <f aca="false">(L12*S2*C12)/1000</f>
        <v>50.9090909090909</v>
      </c>
      <c r="N12" s="77" t="n">
        <f aca="false">P5-G12</f>
        <v>75</v>
      </c>
      <c r="Q12" s="84" t="s">
        <v>182</v>
      </c>
      <c r="R12" s="81" t="n">
        <f aca="false">P4*50/100</f>
        <v>700</v>
      </c>
      <c r="S12" s="82" t="n">
        <f aca="false">R12/1.5/S2</f>
        <v>21.2121212121212</v>
      </c>
      <c r="T12" s="82" t="n">
        <f aca="false">R12/1.2/S2</f>
        <v>26.5151515151515</v>
      </c>
      <c r="U12" s="81"/>
      <c r="V12" s="83" t="n">
        <f aca="false">R12/S2</f>
        <v>31.8181818181818</v>
      </c>
    </row>
    <row r="13" customFormat="false" ht="15" hidden="false" customHeight="false" outlineLevel="0" collapsed="false">
      <c r="A13" s="74" t="s">
        <v>183</v>
      </c>
      <c r="B13" s="74" t="n">
        <v>1.24</v>
      </c>
      <c r="C13" s="74" t="n">
        <v>44</v>
      </c>
      <c r="D13" s="4"/>
      <c r="E13" s="43" t="n">
        <f aca="false">D13*S2</f>
        <v>0</v>
      </c>
      <c r="F13" s="43" t="n">
        <f aca="false">B13*E13</f>
        <v>0</v>
      </c>
      <c r="G13" s="43" t="n">
        <f aca="false">C13*E13/1000</f>
        <v>0</v>
      </c>
      <c r="H13" s="75" t="n">
        <f aca="false">F13/P1</f>
        <v>0</v>
      </c>
      <c r="I13" s="75" t="n">
        <f aca="false">G13/P1</f>
        <v>0</v>
      </c>
      <c r="J13" s="75" t="n">
        <f aca="false">F13*100/P4</f>
        <v>0</v>
      </c>
      <c r="K13" s="75" t="n">
        <f aca="false">G13*100/P5</f>
        <v>0</v>
      </c>
      <c r="L13" s="76" t="n">
        <f aca="false">(P4/B13)/S2</f>
        <v>51.3196480938416</v>
      </c>
      <c r="M13" s="77" t="n">
        <f aca="false">(L13*S2*C13)/1000</f>
        <v>49.6774193548387</v>
      </c>
      <c r="N13" s="77" t="n">
        <f aca="false">P5-G13</f>
        <v>75</v>
      </c>
      <c r="Q13" s="85" t="s">
        <v>184</v>
      </c>
      <c r="R13" s="81" t="n">
        <f aca="false">P4*75/100</f>
        <v>1050</v>
      </c>
      <c r="S13" s="86" t="n">
        <f aca="false">R13/1.5/S2</f>
        <v>31.8181818181818</v>
      </c>
      <c r="T13" s="86" t="n">
        <f aca="false">R13/1.2/S2</f>
        <v>39.7727272727273</v>
      </c>
      <c r="U13" s="81"/>
      <c r="V13" s="83" t="n">
        <f aca="false">R13/S2</f>
        <v>47.7272727272727</v>
      </c>
    </row>
    <row r="14" customFormat="false" ht="15" hidden="false" customHeight="false" outlineLevel="0" collapsed="false">
      <c r="A14" s="74" t="s">
        <v>185</v>
      </c>
      <c r="B14" s="74" t="n">
        <v>1.2</v>
      </c>
      <c r="C14" s="74" t="n">
        <v>46</v>
      </c>
      <c r="D14" s="4"/>
      <c r="E14" s="43" t="n">
        <f aca="false">D14*S2</f>
        <v>0</v>
      </c>
      <c r="F14" s="43" t="n">
        <f aca="false">B14*E14</f>
        <v>0</v>
      </c>
      <c r="G14" s="43" t="n">
        <f aca="false">C14*E14/1000</f>
        <v>0</v>
      </c>
      <c r="H14" s="75" t="n">
        <f aca="false">F14/P1</f>
        <v>0</v>
      </c>
      <c r="I14" s="75" t="n">
        <f aca="false">G14/P1</f>
        <v>0</v>
      </c>
      <c r="J14" s="75" t="n">
        <f aca="false">F14*100/P4</f>
        <v>0</v>
      </c>
      <c r="K14" s="75" t="n">
        <f aca="false">G14*100/P5</f>
        <v>0</v>
      </c>
      <c r="L14" s="76" t="n">
        <f aca="false">(P4/B14)/S2</f>
        <v>53.030303030303</v>
      </c>
      <c r="M14" s="77" t="n">
        <f aca="false">(L14*S2*C14)/1000</f>
        <v>53.6666666666667</v>
      </c>
      <c r="N14" s="77" t="n">
        <f aca="false">P5-G14</f>
        <v>75</v>
      </c>
      <c r="Q14" s="87" t="s">
        <v>186</v>
      </c>
      <c r="R14" s="81" t="n">
        <f aca="false">P4</f>
        <v>1400</v>
      </c>
      <c r="S14" s="86" t="n">
        <f aca="false">R14/1.5/S2</f>
        <v>42.4242424242424</v>
      </c>
      <c r="T14" s="86" t="n">
        <f aca="false">R14/1.2/S2</f>
        <v>53.030303030303</v>
      </c>
      <c r="U14" s="81"/>
      <c r="V14" s="83" t="n">
        <f aca="false">R14/S2</f>
        <v>63.6363636363636</v>
      </c>
    </row>
    <row r="15" customFormat="false" ht="15" hidden="false" customHeight="false" outlineLevel="0" collapsed="false">
      <c r="A15" s="74" t="s">
        <v>187</v>
      </c>
      <c r="B15" s="74" t="n">
        <v>1.2</v>
      </c>
      <c r="C15" s="74" t="n">
        <v>45</v>
      </c>
      <c r="D15" s="4"/>
      <c r="E15" s="43" t="n">
        <f aca="false">D15*S2</f>
        <v>0</v>
      </c>
      <c r="F15" s="43" t="n">
        <f aca="false">B15*E15</f>
        <v>0</v>
      </c>
      <c r="G15" s="43" t="n">
        <f aca="false">C15*E15/1000</f>
        <v>0</v>
      </c>
      <c r="H15" s="75" t="n">
        <f aca="false">F15/P1</f>
        <v>0</v>
      </c>
      <c r="I15" s="75" t="n">
        <f aca="false">G15/P1</f>
        <v>0</v>
      </c>
      <c r="J15" s="75" t="n">
        <f aca="false">F15*100/P4</f>
        <v>0</v>
      </c>
      <c r="K15" s="75" t="n">
        <f aca="false">G15*100/P5</f>
        <v>0</v>
      </c>
      <c r="L15" s="76" t="n">
        <f aca="false">(P4/B15)/S2</f>
        <v>53.030303030303</v>
      </c>
      <c r="M15" s="77" t="n">
        <f aca="false">(L15*S2*C15)/1000</f>
        <v>52.5</v>
      </c>
      <c r="N15" s="77" t="n">
        <f aca="false">P5-G15</f>
        <v>75</v>
      </c>
    </row>
    <row r="16" customFormat="false" ht="15" hidden="false" customHeight="false" outlineLevel="0" collapsed="false">
      <c r="A16" s="74" t="s">
        <v>188</v>
      </c>
      <c r="B16" s="74" t="n">
        <v>1.2</v>
      </c>
      <c r="C16" s="74" t="n">
        <v>46</v>
      </c>
      <c r="D16" s="4"/>
      <c r="E16" s="43" t="n">
        <f aca="false">D16*S2</f>
        <v>0</v>
      </c>
      <c r="F16" s="43" t="n">
        <f aca="false">B16*E16</f>
        <v>0</v>
      </c>
      <c r="G16" s="43" t="n">
        <f aca="false">C16*E16/1000</f>
        <v>0</v>
      </c>
      <c r="H16" s="75" t="n">
        <f aca="false">F16/P1</f>
        <v>0</v>
      </c>
      <c r="I16" s="75" t="n">
        <f aca="false">G16/P1</f>
        <v>0</v>
      </c>
      <c r="J16" s="75" t="n">
        <f aca="false">F16*100/P4</f>
        <v>0</v>
      </c>
      <c r="K16" s="75" t="n">
        <f aca="false">G16*100/P5</f>
        <v>0</v>
      </c>
      <c r="L16" s="76" t="n">
        <f aca="false">(P4/B16)/S2</f>
        <v>53.030303030303</v>
      </c>
      <c r="M16" s="77" t="n">
        <f aca="false">(L16*S2*C16)/1000</f>
        <v>53.6666666666667</v>
      </c>
      <c r="N16" s="77" t="n">
        <f aca="false">P5-G16</f>
        <v>75</v>
      </c>
    </row>
    <row r="17" customFormat="false" ht="16.15" hidden="false" customHeight="false" outlineLevel="0" collapsed="false">
      <c r="A17" s="74" t="s">
        <v>189</v>
      </c>
      <c r="B17" s="74" t="n">
        <v>1.5</v>
      </c>
      <c r="C17" s="74" t="n">
        <v>56</v>
      </c>
      <c r="D17" s="4"/>
      <c r="E17" s="43" t="n">
        <f aca="false">D17*S2</f>
        <v>0</v>
      </c>
      <c r="F17" s="43" t="n">
        <f aca="false">B17*E17</f>
        <v>0</v>
      </c>
      <c r="G17" s="43" t="n">
        <f aca="false">C17*E17/1000</f>
        <v>0</v>
      </c>
      <c r="H17" s="75" t="n">
        <f aca="false">F17/P1</f>
        <v>0</v>
      </c>
      <c r="I17" s="75" t="n">
        <f aca="false">G17/P1</f>
        <v>0</v>
      </c>
      <c r="J17" s="75" t="n">
        <f aca="false">F17*100/P4</f>
        <v>0</v>
      </c>
      <c r="K17" s="75" t="n">
        <f aca="false">G17*100/P5</f>
        <v>0</v>
      </c>
      <c r="L17" s="76" t="n">
        <f aca="false">(P4/B17)/S2</f>
        <v>42.4242424242424</v>
      </c>
      <c r="M17" s="77" t="n">
        <f aca="false">(L17*S2*C17)/1000</f>
        <v>52.2666666666667</v>
      </c>
      <c r="N17" s="77" t="n">
        <f aca="false">P5-G17</f>
        <v>75</v>
      </c>
      <c r="Q17" s="88" t="s">
        <v>190</v>
      </c>
      <c r="R17" s="88"/>
      <c r="S17" s="88"/>
      <c r="T17" s="88"/>
      <c r="U17" s="4" t="n">
        <v>72</v>
      </c>
      <c r="V17" s="13" t="s">
        <v>191</v>
      </c>
    </row>
    <row r="18" customFormat="false" ht="15" hidden="false" customHeight="false" outlineLevel="0" collapsed="false">
      <c r="A18" s="74" t="s">
        <v>192</v>
      </c>
      <c r="B18" s="74" t="n">
        <v>1.5</v>
      </c>
      <c r="C18" s="74" t="n">
        <v>75</v>
      </c>
      <c r="D18" s="4" t="n">
        <v>46</v>
      </c>
      <c r="E18" s="43" t="n">
        <f aca="false">D18*S2</f>
        <v>1012</v>
      </c>
      <c r="F18" s="43" t="n">
        <f aca="false">B18*E18</f>
        <v>1518</v>
      </c>
      <c r="G18" s="43" t="n">
        <f aca="false">C18*E18/1000</f>
        <v>75.9</v>
      </c>
      <c r="H18" s="75" t="n">
        <f aca="false">F18/P1</f>
        <v>21.6857142857143</v>
      </c>
      <c r="I18" s="75" t="n">
        <f aca="false">G18/P1</f>
        <v>1.08428571428571</v>
      </c>
      <c r="J18" s="75" t="n">
        <f aca="false">F18*100/P4</f>
        <v>108.428571428571</v>
      </c>
      <c r="K18" s="75" t="n">
        <f aca="false">G18*100/P5</f>
        <v>101.2</v>
      </c>
      <c r="L18" s="76" t="n">
        <f aca="false">(P4/B18)/S2</f>
        <v>42.4242424242424</v>
      </c>
      <c r="M18" s="77" t="n">
        <f aca="false">(L18*S2*C18)/1000</f>
        <v>70</v>
      </c>
      <c r="N18" s="77" t="n">
        <f aca="false">P5-G18</f>
        <v>-0.900000000000006</v>
      </c>
      <c r="Q18" s="58" t="s">
        <v>193</v>
      </c>
      <c r="R18" s="58"/>
      <c r="S18" s="8" t="n">
        <f aca="false">U17*15/Suplementos!C31</f>
        <v>83.0769230769231</v>
      </c>
      <c r="U18" s="13" t="n">
        <f aca="false">U17*4</f>
        <v>288</v>
      </c>
      <c r="V18" s="13" t="s">
        <v>194</v>
      </c>
    </row>
    <row r="19" customFormat="false" ht="15" hidden="false" customHeight="false" outlineLevel="0" collapsed="false">
      <c r="A19" s="74" t="s">
        <v>195</v>
      </c>
      <c r="B19" s="74" t="n">
        <v>1.5</v>
      </c>
      <c r="C19" s="74" t="n">
        <v>63</v>
      </c>
      <c r="D19" s="4" t="n">
        <v>46</v>
      </c>
      <c r="E19" s="43" t="n">
        <f aca="false">D19*S2</f>
        <v>1012</v>
      </c>
      <c r="F19" s="43" t="n">
        <f aca="false">B19*E19</f>
        <v>1518</v>
      </c>
      <c r="G19" s="43" t="n">
        <f aca="false">C19*E19/1000</f>
        <v>63.756</v>
      </c>
      <c r="H19" s="75" t="n">
        <f aca="false">F19/P1</f>
        <v>21.6857142857143</v>
      </c>
      <c r="I19" s="75" t="n">
        <f aca="false">G19/P1</f>
        <v>0.9108</v>
      </c>
      <c r="J19" s="75" t="n">
        <f aca="false">F19*100/P4</f>
        <v>108.428571428571</v>
      </c>
      <c r="K19" s="75" t="n">
        <f aca="false">G19*100/P5</f>
        <v>85.008</v>
      </c>
      <c r="L19" s="76" t="n">
        <f aca="false">(P4/B19)/S2</f>
        <v>42.4242424242424</v>
      </c>
      <c r="M19" s="77" t="n">
        <f aca="false">(L19*S2*C19)/1000</f>
        <v>58.8</v>
      </c>
      <c r="N19" s="77" t="n">
        <f aca="false">P5-G19</f>
        <v>11.244</v>
      </c>
      <c r="Q19" s="58" t="s">
        <v>196</v>
      </c>
      <c r="R19" s="58"/>
      <c r="S19" s="8" t="n">
        <f aca="false">U17*12/Suplementos!C32</f>
        <v>83.0769230769231</v>
      </c>
      <c r="U19" s="13" t="n">
        <f aca="false">U17*4</f>
        <v>288</v>
      </c>
      <c r="V19" s="13" t="s">
        <v>194</v>
      </c>
    </row>
    <row r="20" customFormat="false" ht="15" hidden="false" customHeight="false" outlineLevel="0" collapsed="false">
      <c r="A20" s="74" t="s">
        <v>197</v>
      </c>
      <c r="B20" s="74" t="n">
        <v>1.5</v>
      </c>
      <c r="C20" s="74" t="n">
        <v>83</v>
      </c>
      <c r="D20" s="4"/>
      <c r="E20" s="43" t="n">
        <f aca="false">D20*S2</f>
        <v>0</v>
      </c>
      <c r="F20" s="43" t="n">
        <f aca="false">B20*E20</f>
        <v>0</v>
      </c>
      <c r="G20" s="43" t="n">
        <f aca="false">C20*E20/1000</f>
        <v>0</v>
      </c>
      <c r="H20" s="75" t="n">
        <f aca="false">F20/P1</f>
        <v>0</v>
      </c>
      <c r="I20" s="75" t="n">
        <f aca="false">G20/P1</f>
        <v>0</v>
      </c>
      <c r="J20" s="75" t="n">
        <f aca="false">F20*100/P4</f>
        <v>0</v>
      </c>
      <c r="K20" s="75" t="n">
        <f aca="false">G20*100/P5</f>
        <v>0</v>
      </c>
      <c r="L20" s="76" t="n">
        <f aca="false">(P4/B20)/S2</f>
        <v>42.4242424242424</v>
      </c>
      <c r="M20" s="77" t="n">
        <f aca="false">(L20*S2*C20)/1000</f>
        <v>77.4666666666667</v>
      </c>
      <c r="N20" s="77" t="n">
        <f aca="false">P5-G20</f>
        <v>75</v>
      </c>
      <c r="Q20" s="58" t="s">
        <v>198</v>
      </c>
      <c r="R20" s="58"/>
      <c r="S20" s="8" t="n">
        <f aca="false">U17*20/Suplementos!C33</f>
        <v>240</v>
      </c>
      <c r="U20" s="13" t="n">
        <f aca="false">U17*4+(S20*9.66/20)</f>
        <v>403.92</v>
      </c>
      <c r="V20" s="13" t="s">
        <v>194</v>
      </c>
    </row>
    <row r="21" customFormat="false" ht="15.75" hidden="false" customHeight="true" outlineLevel="0" collapsed="false">
      <c r="A21" s="74" t="s">
        <v>199</v>
      </c>
      <c r="B21" s="74" t="n">
        <v>1.5</v>
      </c>
      <c r="C21" s="74" t="n">
        <v>60</v>
      </c>
      <c r="D21" s="4"/>
      <c r="E21" s="43" t="n">
        <f aca="false">D21*S2</f>
        <v>0</v>
      </c>
      <c r="F21" s="43" t="n">
        <f aca="false">B21*E21</f>
        <v>0</v>
      </c>
      <c r="G21" s="43" t="n">
        <f aca="false">C21*E21/1000</f>
        <v>0</v>
      </c>
      <c r="H21" s="75" t="n">
        <f aca="false">F21/P1</f>
        <v>0</v>
      </c>
      <c r="I21" s="75" t="n">
        <f aca="false">G21/P1</f>
        <v>0</v>
      </c>
      <c r="J21" s="75" t="n">
        <f aca="false">F21*100/P4</f>
        <v>0</v>
      </c>
      <c r="K21" s="75" t="n">
        <f aca="false">G21*100/P5</f>
        <v>0</v>
      </c>
      <c r="L21" s="76" t="n">
        <f aca="false">(P4/B21)/S2</f>
        <v>42.4242424242424</v>
      </c>
      <c r="M21" s="77" t="n">
        <f aca="false">(L21*S2*C21)/1000</f>
        <v>56</v>
      </c>
      <c r="N21" s="77" t="n">
        <f aca="false">P5-G21</f>
        <v>75</v>
      </c>
    </row>
    <row r="22" customFormat="false" ht="15.75" hidden="false" customHeight="true" outlineLevel="0" collapsed="false">
      <c r="A22" s="74" t="s">
        <v>200</v>
      </c>
      <c r="B22" s="74" t="n">
        <v>1.5</v>
      </c>
      <c r="C22" s="74" t="n">
        <v>60</v>
      </c>
      <c r="D22" s="4"/>
      <c r="E22" s="43" t="n">
        <f aca="false">D22*S2</f>
        <v>0</v>
      </c>
      <c r="F22" s="43" t="n">
        <f aca="false">B22*E22</f>
        <v>0</v>
      </c>
      <c r="G22" s="43" t="n">
        <f aca="false">C22*E22/1000</f>
        <v>0</v>
      </c>
      <c r="H22" s="75" t="n">
        <f aca="false">F22/P1</f>
        <v>0</v>
      </c>
      <c r="I22" s="75" t="n">
        <f aca="false">G22/P1</f>
        <v>0</v>
      </c>
      <c r="J22" s="75" t="n">
        <f aca="false">F22*100/P4</f>
        <v>0</v>
      </c>
      <c r="K22" s="75" t="n">
        <f aca="false">G22*100/P5</f>
        <v>0</v>
      </c>
      <c r="L22" s="76" t="n">
        <f aca="false">(P4/B22)/S2</f>
        <v>42.4242424242424</v>
      </c>
      <c r="M22" s="77" t="n">
        <f aca="false">(L22*S2*C22)/1000</f>
        <v>56</v>
      </c>
      <c r="N22" s="77" t="n">
        <f aca="false">P5-G22</f>
        <v>75</v>
      </c>
    </row>
    <row r="23" customFormat="false" ht="15.75" hidden="false" customHeight="true" outlineLevel="0" collapsed="false">
      <c r="A23" s="74" t="s">
        <v>201</v>
      </c>
      <c r="B23" s="74" t="n">
        <v>1.5</v>
      </c>
      <c r="C23" s="74" t="n">
        <v>64</v>
      </c>
      <c r="D23" s="4"/>
      <c r="E23" s="43" t="n">
        <f aca="false">D23*S2</f>
        <v>0</v>
      </c>
      <c r="F23" s="43" t="n">
        <f aca="false">B23*E23</f>
        <v>0</v>
      </c>
      <c r="G23" s="43" t="n">
        <f aca="false">C23*E23/1000</f>
        <v>0</v>
      </c>
      <c r="H23" s="75" t="n">
        <f aca="false">F23/P1</f>
        <v>0</v>
      </c>
      <c r="I23" s="75" t="n">
        <f aca="false">G23/P1</f>
        <v>0</v>
      </c>
      <c r="J23" s="75" t="n">
        <f aca="false">F23*100/P4</f>
        <v>0</v>
      </c>
      <c r="K23" s="75" t="n">
        <f aca="false">G23*100/P5</f>
        <v>0</v>
      </c>
      <c r="L23" s="76" t="n">
        <f aca="false">(P4/B23)/S2</f>
        <v>42.4242424242424</v>
      </c>
      <c r="M23" s="77" t="n">
        <f aca="false">(L23*S2*C23)/1000</f>
        <v>59.7333333333333</v>
      </c>
      <c r="N23" s="77" t="n">
        <f aca="false">P5-G23</f>
        <v>75</v>
      </c>
    </row>
    <row r="24" customFormat="false" ht="15.75" hidden="false" customHeight="true" outlineLevel="0" collapsed="false">
      <c r="A24" s="74" t="s">
        <v>202</v>
      </c>
      <c r="B24" s="74" t="n">
        <v>1.5</v>
      </c>
      <c r="C24" s="74" t="n">
        <v>63</v>
      </c>
      <c r="D24" s="4" t="n">
        <v>46</v>
      </c>
      <c r="E24" s="43" t="n">
        <f aca="false">D24*S2</f>
        <v>1012</v>
      </c>
      <c r="F24" s="43" t="n">
        <f aca="false">B24*E24</f>
        <v>1518</v>
      </c>
      <c r="G24" s="43" t="n">
        <f aca="false">C24*E24/1000</f>
        <v>63.756</v>
      </c>
      <c r="H24" s="75" t="n">
        <f aca="false">F24/P1</f>
        <v>21.6857142857143</v>
      </c>
      <c r="I24" s="75" t="n">
        <f aca="false">G24/P1</f>
        <v>0.9108</v>
      </c>
      <c r="J24" s="75" t="n">
        <f aca="false">F24*100/P4</f>
        <v>108.428571428571</v>
      </c>
      <c r="K24" s="75" t="n">
        <f aca="false">G24*100/P5</f>
        <v>85.008</v>
      </c>
      <c r="L24" s="76" t="n">
        <f aca="false">(P4/B24)/S2</f>
        <v>42.4242424242424</v>
      </c>
      <c r="M24" s="77" t="n">
        <f aca="false">(L24*S2*C24)/1000</f>
        <v>58.8</v>
      </c>
      <c r="N24" s="77" t="n">
        <f aca="false">P5-G24</f>
        <v>11.244</v>
      </c>
    </row>
    <row r="25" customFormat="false" ht="15.75" hidden="false" customHeight="true" outlineLevel="0" collapsed="false">
      <c r="A25" s="74" t="s">
        <v>203</v>
      </c>
      <c r="B25" s="74" t="n">
        <v>1.5</v>
      </c>
      <c r="C25" s="74" t="n">
        <v>58</v>
      </c>
      <c r="D25" s="4"/>
      <c r="E25" s="43" t="n">
        <f aca="false">D25*S2</f>
        <v>0</v>
      </c>
      <c r="F25" s="43" t="n">
        <f aca="false">B25*E25</f>
        <v>0</v>
      </c>
      <c r="G25" s="43" t="n">
        <f aca="false">C25*E25/1000</f>
        <v>0</v>
      </c>
      <c r="H25" s="75" t="n">
        <f aca="false">F25/P1</f>
        <v>0</v>
      </c>
      <c r="I25" s="75" t="n">
        <f aca="false">G25/P1</f>
        <v>0</v>
      </c>
      <c r="J25" s="75" t="n">
        <f aca="false">F25*100/P4</f>
        <v>0</v>
      </c>
      <c r="K25" s="75" t="n">
        <f aca="false">G25*100/P5</f>
        <v>0</v>
      </c>
      <c r="L25" s="76" t="n">
        <f aca="false">(P4/B25)/S2</f>
        <v>42.4242424242424</v>
      </c>
      <c r="M25" s="77" t="n">
        <f aca="false">(L25*S2*C25)/1000</f>
        <v>54.1333333333333</v>
      </c>
      <c r="N25" s="77" t="n">
        <f aca="false">P5-G25</f>
        <v>75</v>
      </c>
    </row>
    <row r="26" customFormat="false" ht="15.75" hidden="false" customHeight="true" outlineLevel="0" collapsed="false">
      <c r="A26" s="74" t="s">
        <v>204</v>
      </c>
      <c r="B26" s="74" t="n">
        <v>1.5</v>
      </c>
      <c r="C26" s="74" t="n">
        <v>69</v>
      </c>
      <c r="D26" s="4"/>
      <c r="E26" s="43" t="n">
        <f aca="false">D26*S2</f>
        <v>0</v>
      </c>
      <c r="F26" s="43" t="n">
        <f aca="false">B26*E26</f>
        <v>0</v>
      </c>
      <c r="G26" s="43" t="n">
        <f aca="false">C26*E26/1000</f>
        <v>0</v>
      </c>
      <c r="H26" s="75" t="n">
        <f aca="false">F26/P1</f>
        <v>0</v>
      </c>
      <c r="I26" s="75" t="n">
        <f aca="false">G26/P1</f>
        <v>0</v>
      </c>
      <c r="J26" s="75" t="n">
        <f aca="false">F26*100/P4</f>
        <v>0</v>
      </c>
      <c r="K26" s="75" t="n">
        <f aca="false">G26*100/P5</f>
        <v>0</v>
      </c>
      <c r="L26" s="76" t="n">
        <f aca="false">(P4/B26)/S2</f>
        <v>42.4242424242424</v>
      </c>
      <c r="M26" s="77" t="n">
        <f aca="false">(L26*S2*C26)/1000</f>
        <v>64.4</v>
      </c>
      <c r="N26" s="77" t="n">
        <f aca="false">P5-G26</f>
        <v>75</v>
      </c>
    </row>
    <row r="27" customFormat="false" ht="15.75" hidden="false" customHeight="true" outlineLevel="0" collapsed="false">
      <c r="A27" s="74" t="s">
        <v>205</v>
      </c>
      <c r="B27" s="74" t="n">
        <v>1.5</v>
      </c>
      <c r="C27" s="74" t="n">
        <v>57</v>
      </c>
      <c r="D27" s="4"/>
      <c r="E27" s="43" t="n">
        <f aca="false">D27*S2</f>
        <v>0</v>
      </c>
      <c r="F27" s="43" t="n">
        <f aca="false">B27*E27</f>
        <v>0</v>
      </c>
      <c r="G27" s="43" t="n">
        <f aca="false">C27*E27/1000</f>
        <v>0</v>
      </c>
      <c r="H27" s="75" t="n">
        <f aca="false">F27/P1</f>
        <v>0</v>
      </c>
      <c r="I27" s="75" t="n">
        <f aca="false">G27/P1</f>
        <v>0</v>
      </c>
      <c r="J27" s="75" t="n">
        <f aca="false">F27*100/P4</f>
        <v>0</v>
      </c>
      <c r="K27" s="75" t="n">
        <f aca="false">G27*100/P5</f>
        <v>0</v>
      </c>
      <c r="L27" s="76" t="n">
        <f aca="false">(P4/B27)/S2</f>
        <v>42.4242424242424</v>
      </c>
      <c r="M27" s="77" t="n">
        <f aca="false">(L27*S2*C27)/1000</f>
        <v>53.2</v>
      </c>
      <c r="N27" s="77" t="n">
        <f aca="false">P5-G27</f>
        <v>75</v>
      </c>
    </row>
    <row r="28" customFormat="false" ht="15.75" hidden="false" customHeight="true" outlineLevel="0" collapsed="false">
      <c r="A28" s="74" t="s">
        <v>206</v>
      </c>
      <c r="B28" s="74" t="n">
        <v>2</v>
      </c>
      <c r="C28" s="74" t="n">
        <v>50</v>
      </c>
      <c r="D28" s="4" t="n">
        <v>34</v>
      </c>
      <c r="E28" s="43" t="n">
        <f aca="false">D28*S2</f>
        <v>748</v>
      </c>
      <c r="F28" s="43" t="n">
        <f aca="false">B28*E28</f>
        <v>1496</v>
      </c>
      <c r="G28" s="43" t="n">
        <f aca="false">C28*E28/500</f>
        <v>74.8</v>
      </c>
      <c r="H28" s="75" t="n">
        <f aca="false">F28/P1</f>
        <v>21.3714285714286</v>
      </c>
      <c r="I28" s="75" t="n">
        <f aca="false">G28/P1</f>
        <v>1.06857142857143</v>
      </c>
      <c r="J28" s="75" t="n">
        <f aca="false">F28*100/P4</f>
        <v>106.857142857143</v>
      </c>
      <c r="K28" s="75" t="n">
        <f aca="false">G28*100/P5</f>
        <v>99.7333333333333</v>
      </c>
      <c r="L28" s="76" t="n">
        <f aca="false">(P4/B28)/S2</f>
        <v>31.8181818181818</v>
      </c>
      <c r="M28" s="77" t="n">
        <f aca="false">(L28*S2*C28)/1000</f>
        <v>35</v>
      </c>
      <c r="N28" s="77" t="n">
        <f aca="false">P5-G28</f>
        <v>0.200000000000003</v>
      </c>
    </row>
    <row r="29" customFormat="false" ht="15.75" hidden="false" customHeight="true" outlineLevel="0" collapsed="false">
      <c r="A29" s="74" t="s">
        <v>207</v>
      </c>
      <c r="B29" s="74" t="n">
        <v>2</v>
      </c>
      <c r="C29" s="74" t="n">
        <v>50</v>
      </c>
      <c r="D29" s="4"/>
      <c r="E29" s="43" t="n">
        <f aca="false">D29*S2</f>
        <v>0</v>
      </c>
      <c r="F29" s="43" t="n">
        <f aca="false">B29*E29</f>
        <v>0</v>
      </c>
      <c r="G29" s="43" t="n">
        <f aca="false">C29*E29/500</f>
        <v>0</v>
      </c>
      <c r="H29" s="75" t="n">
        <f aca="false">F29/P1</f>
        <v>0</v>
      </c>
      <c r="I29" s="75" t="n">
        <f aca="false">G29/P1</f>
        <v>0</v>
      </c>
      <c r="J29" s="75" t="n">
        <f aca="false">F29*100/P4</f>
        <v>0</v>
      </c>
      <c r="K29" s="75" t="n">
        <f aca="false">G29*100/P5</f>
        <v>0</v>
      </c>
      <c r="L29" s="76" t="n">
        <f aca="false">(P4/B29)/S2</f>
        <v>31.8181818181818</v>
      </c>
      <c r="M29" s="77" t="n">
        <f aca="false">(L29*S2*C29)/1000</f>
        <v>35</v>
      </c>
      <c r="N29" s="77" t="n">
        <f aca="false">P5-G29</f>
        <v>75</v>
      </c>
    </row>
    <row r="30" customFormat="false" ht="15.75" hidden="false" customHeight="true" outlineLevel="0" collapsed="false">
      <c r="A30" s="74" t="s">
        <v>208</v>
      </c>
      <c r="B30" s="74" t="n">
        <v>1</v>
      </c>
      <c r="C30" s="74" t="n">
        <v>46.5</v>
      </c>
      <c r="D30" s="4"/>
      <c r="E30" s="43" t="n">
        <f aca="false">D30*S2</f>
        <v>0</v>
      </c>
      <c r="F30" s="43" t="n">
        <f aca="false">B30*E30</f>
        <v>0</v>
      </c>
      <c r="G30" s="43" t="n">
        <f aca="false">C30*E30/1000</f>
        <v>0</v>
      </c>
      <c r="H30" s="75" t="n">
        <f aca="false">F30/P1</f>
        <v>0</v>
      </c>
      <c r="I30" s="75" t="n">
        <f aca="false">G30/P1</f>
        <v>0</v>
      </c>
      <c r="J30" s="75" t="n">
        <f aca="false">F30*100/P4</f>
        <v>0</v>
      </c>
      <c r="K30" s="75" t="n">
        <f aca="false">G30*100/P5</f>
        <v>0</v>
      </c>
      <c r="L30" s="76" t="n">
        <f aca="false">(P4/B30)/S2</f>
        <v>63.6363636363636</v>
      </c>
      <c r="M30" s="77" t="n">
        <f aca="false">(L30*S2*C30)/1000</f>
        <v>65.1</v>
      </c>
      <c r="N30" s="77" t="n">
        <f aca="false">P5-G30</f>
        <v>75</v>
      </c>
    </row>
    <row r="31" customFormat="false" ht="15.75" hidden="false" customHeight="true" outlineLevel="0" collapsed="false">
      <c r="A31" s="74" t="s">
        <v>209</v>
      </c>
      <c r="B31" s="74" t="n">
        <v>1</v>
      </c>
      <c r="C31" s="74" t="n">
        <v>75</v>
      </c>
      <c r="D31" s="4"/>
      <c r="E31" s="43" t="n">
        <f aca="false">D31*S2</f>
        <v>0</v>
      </c>
      <c r="F31" s="43" t="n">
        <f aca="false">B31*E31</f>
        <v>0</v>
      </c>
      <c r="G31" s="43" t="n">
        <f aca="false">C31*E31/1000</f>
        <v>0</v>
      </c>
      <c r="H31" s="75" t="n">
        <f aca="false">F31/P1</f>
        <v>0</v>
      </c>
      <c r="I31" s="75" t="n">
        <f aca="false">G31/P1</f>
        <v>0</v>
      </c>
      <c r="J31" s="75" t="n">
        <f aca="false">F31*100/P4</f>
        <v>0</v>
      </c>
      <c r="K31" s="75" t="n">
        <f aca="false">G31*100/P5</f>
        <v>0</v>
      </c>
      <c r="L31" s="76" t="n">
        <f aca="false">(P4/B31)/S2</f>
        <v>63.6363636363636</v>
      </c>
      <c r="M31" s="77" t="n">
        <f aca="false">(L31*S2*C31)/1000</f>
        <v>105</v>
      </c>
      <c r="N31" s="77" t="n">
        <f aca="false">P5-G31</f>
        <v>75</v>
      </c>
    </row>
    <row r="32" customFormat="false" ht="15.75" hidden="false" customHeight="true" outlineLevel="0" collapsed="false">
      <c r="A32" s="74" t="s">
        <v>210</v>
      </c>
      <c r="B32" s="74" t="n">
        <v>1.12</v>
      </c>
      <c r="C32" s="74" t="n">
        <v>49</v>
      </c>
      <c r="D32" s="4"/>
      <c r="E32" s="43" t="n">
        <f aca="false">D32*S2</f>
        <v>0</v>
      </c>
      <c r="F32" s="43" t="n">
        <f aca="false">B32*E32</f>
        <v>0</v>
      </c>
      <c r="G32" s="43" t="n">
        <f aca="false">C32*E32/1000</f>
        <v>0</v>
      </c>
      <c r="H32" s="75" t="n">
        <f aca="false">F32/P1</f>
        <v>0</v>
      </c>
      <c r="I32" s="75" t="n">
        <f aca="false">G32/P1</f>
        <v>0</v>
      </c>
      <c r="J32" s="75" t="n">
        <f aca="false">F32*100/P4</f>
        <v>0</v>
      </c>
      <c r="K32" s="75" t="n">
        <f aca="false">G32*100/P5</f>
        <v>0</v>
      </c>
      <c r="L32" s="76" t="n">
        <f aca="false">(P4/B32)/S2</f>
        <v>56.8181818181818</v>
      </c>
      <c r="M32" s="77" t="n">
        <f aca="false">(L32*S2*C32)/1000</f>
        <v>61.25</v>
      </c>
      <c r="N32" s="77" t="n">
        <f aca="false">P5-G32</f>
        <v>75</v>
      </c>
    </row>
    <row r="33" customFormat="false" ht="15.75" hidden="false" customHeight="true" outlineLevel="0" collapsed="false">
      <c r="A33" s="74" t="s">
        <v>211</v>
      </c>
      <c r="B33" s="74" t="n">
        <v>1.14</v>
      </c>
      <c r="C33" s="74" t="n">
        <v>64</v>
      </c>
      <c r="D33" s="4"/>
      <c r="E33" s="43" t="n">
        <f aca="false">D33*S2</f>
        <v>0</v>
      </c>
      <c r="F33" s="43" t="n">
        <f aca="false">B33*E33</f>
        <v>0</v>
      </c>
      <c r="G33" s="43" t="n">
        <f aca="false">C33*E33/1000</f>
        <v>0</v>
      </c>
      <c r="H33" s="75" t="n">
        <f aca="false">F33/P1</f>
        <v>0</v>
      </c>
      <c r="I33" s="75" t="n">
        <f aca="false">G33/P1</f>
        <v>0</v>
      </c>
      <c r="J33" s="75" t="n">
        <f aca="false">F33*100/P4</f>
        <v>0</v>
      </c>
      <c r="K33" s="75" t="n">
        <f aca="false">G33*100/P5</f>
        <v>0</v>
      </c>
      <c r="L33" s="76" t="n">
        <f aca="false">(P4/B33)/S2</f>
        <v>55.8213716108453</v>
      </c>
      <c r="M33" s="77" t="n">
        <f aca="false">(L33*S2*C33)/1000</f>
        <v>78.5964912280702</v>
      </c>
      <c r="N33" s="77" t="n">
        <f aca="false">P5-G33</f>
        <v>75</v>
      </c>
    </row>
    <row r="34" customFormat="false" ht="15.75" hidden="false" customHeight="true" outlineLevel="0" collapsed="false">
      <c r="A34" s="74" t="s">
        <v>212</v>
      </c>
      <c r="B34" s="74" t="n">
        <v>1.5</v>
      </c>
      <c r="C34" s="74" t="n">
        <v>75</v>
      </c>
      <c r="D34" s="4"/>
      <c r="E34" s="43" t="n">
        <f aca="false">D34*S2</f>
        <v>0</v>
      </c>
      <c r="F34" s="43" t="n">
        <f aca="false">B34*E34</f>
        <v>0</v>
      </c>
      <c r="G34" s="43" t="n">
        <f aca="false">C34*E34/1000</f>
        <v>0</v>
      </c>
      <c r="H34" s="75" t="n">
        <f aca="false">F34/P1</f>
        <v>0</v>
      </c>
      <c r="I34" s="75" t="n">
        <f aca="false">G34/P1</f>
        <v>0</v>
      </c>
      <c r="J34" s="75" t="n">
        <f aca="false">F34*100/P4</f>
        <v>0</v>
      </c>
      <c r="K34" s="75" t="n">
        <f aca="false">G34*100/P5</f>
        <v>0</v>
      </c>
      <c r="L34" s="76" t="n">
        <f aca="false">(P4/B34)/S2</f>
        <v>42.4242424242424</v>
      </c>
      <c r="M34" s="77" t="n">
        <f aca="false">(L34*S2*C34)/1000</f>
        <v>70</v>
      </c>
      <c r="N34" s="77" t="n">
        <f aca="false">P5-G34</f>
        <v>75</v>
      </c>
    </row>
    <row r="35" customFormat="false" ht="15.75" hidden="false" customHeight="true" outlineLevel="0" collapsed="false">
      <c r="A35" s="74" t="s">
        <v>213</v>
      </c>
      <c r="B35" s="74" t="n">
        <v>1</v>
      </c>
      <c r="C35" s="74" t="n">
        <v>43</v>
      </c>
      <c r="D35" s="4"/>
      <c r="E35" s="43" t="n">
        <f aca="false">D35*S2</f>
        <v>0</v>
      </c>
      <c r="F35" s="43" t="n">
        <f aca="false">B35*E35</f>
        <v>0</v>
      </c>
      <c r="G35" s="43" t="n">
        <f aca="false">C35*E35/1000</f>
        <v>0</v>
      </c>
      <c r="H35" s="75" t="n">
        <f aca="false">F35/P1</f>
        <v>0</v>
      </c>
      <c r="I35" s="75" t="n">
        <f aca="false">G35/P1</f>
        <v>0</v>
      </c>
      <c r="J35" s="75" t="n">
        <f aca="false">F35*100/P4</f>
        <v>0</v>
      </c>
      <c r="K35" s="75" t="n">
        <f aca="false">G35*100/P5</f>
        <v>0</v>
      </c>
      <c r="L35" s="76" t="n">
        <f aca="false">(P4/B35)/S2</f>
        <v>63.6363636363636</v>
      </c>
      <c r="M35" s="77" t="n">
        <f aca="false">(L35*S2*C35)/1000</f>
        <v>60.2</v>
      </c>
      <c r="N35" s="77" t="n">
        <f aca="false">P5-G35</f>
        <v>75</v>
      </c>
    </row>
    <row r="36" customFormat="false" ht="15.75" hidden="false" customHeight="true" outlineLevel="0" collapsed="false">
      <c r="A36" s="74" t="s">
        <v>214</v>
      </c>
      <c r="B36" s="74" t="n">
        <v>2</v>
      </c>
      <c r="C36" s="74" t="n">
        <v>74</v>
      </c>
      <c r="D36" s="4"/>
      <c r="E36" s="43" t="n">
        <f aca="false">D36*S2</f>
        <v>0</v>
      </c>
      <c r="F36" s="43" t="n">
        <f aca="false">B36*E36</f>
        <v>0</v>
      </c>
      <c r="G36" s="43" t="n">
        <f aca="false">C36*E36/1000</f>
        <v>0</v>
      </c>
      <c r="H36" s="75" t="n">
        <f aca="false">F36/P1</f>
        <v>0</v>
      </c>
      <c r="I36" s="75" t="n">
        <f aca="false">G36/P1</f>
        <v>0</v>
      </c>
      <c r="J36" s="75" t="n">
        <f aca="false">F36*100/P4</f>
        <v>0</v>
      </c>
      <c r="K36" s="75" t="n">
        <f aca="false">G36*100/P5</f>
        <v>0</v>
      </c>
      <c r="L36" s="76" t="n">
        <f aca="false">(P4/B36)/S2</f>
        <v>31.8181818181818</v>
      </c>
      <c r="M36" s="77" t="n">
        <f aca="false">(L36*S2*C36)/1000</f>
        <v>51.8</v>
      </c>
      <c r="N36" s="77" t="n">
        <f aca="false">P5-G36</f>
        <v>75</v>
      </c>
    </row>
    <row r="37" customFormat="false" ht="15.75" hidden="false" customHeight="true" outlineLevel="0" collapsed="false">
      <c r="A37" s="74" t="s">
        <v>215</v>
      </c>
      <c r="B37" s="74" t="n">
        <v>1.5</v>
      </c>
      <c r="C37" s="74" t="n">
        <v>60</v>
      </c>
      <c r="D37" s="4"/>
      <c r="E37" s="43" t="n">
        <f aca="false">D37*S2</f>
        <v>0</v>
      </c>
      <c r="F37" s="43" t="n">
        <f aca="false">B37*E37</f>
        <v>0</v>
      </c>
      <c r="G37" s="43" t="n">
        <f aca="false">C37*E37/1000</f>
        <v>0</v>
      </c>
      <c r="H37" s="75" t="n">
        <f aca="false">F37/P1</f>
        <v>0</v>
      </c>
      <c r="I37" s="75" t="n">
        <f aca="false">G37/P1</f>
        <v>0</v>
      </c>
      <c r="J37" s="75" t="n">
        <f aca="false">F37*100/P4</f>
        <v>0</v>
      </c>
      <c r="K37" s="75" t="n">
        <f aca="false">G37*100/P5</f>
        <v>0</v>
      </c>
      <c r="L37" s="76" t="n">
        <f aca="false">(P4/B37)/S2</f>
        <v>42.4242424242424</v>
      </c>
      <c r="M37" s="77" t="n">
        <f aca="false">(L37*S2*C37)/1000</f>
        <v>56</v>
      </c>
      <c r="N37" s="77" t="n">
        <f aca="false">P5-G37</f>
        <v>75</v>
      </c>
    </row>
    <row r="38" customFormat="false" ht="15.75" hidden="false" customHeight="true" outlineLevel="0" collapsed="false">
      <c r="A38" s="74" t="s">
        <v>216</v>
      </c>
      <c r="B38" s="74" t="n">
        <v>1</v>
      </c>
      <c r="C38" s="74" t="n">
        <v>58</v>
      </c>
      <c r="D38" s="4"/>
      <c r="E38" s="43" t="n">
        <f aca="false">D38*S2</f>
        <v>0</v>
      </c>
      <c r="F38" s="43" t="n">
        <f aca="false">B38*E38</f>
        <v>0</v>
      </c>
      <c r="G38" s="43" t="n">
        <f aca="false">C38*E38/1000</f>
        <v>0</v>
      </c>
      <c r="H38" s="75" t="n">
        <f aca="false">F38/P1</f>
        <v>0</v>
      </c>
      <c r="I38" s="75" t="n">
        <f aca="false">G38/P1</f>
        <v>0</v>
      </c>
      <c r="J38" s="75" t="n">
        <f aca="false">F38*100/P4</f>
        <v>0</v>
      </c>
      <c r="K38" s="75" t="n">
        <f aca="false">G38*100/P5</f>
        <v>0</v>
      </c>
      <c r="L38" s="76" t="n">
        <f aca="false">(P4/B38)/S2</f>
        <v>63.6363636363636</v>
      </c>
      <c r="M38" s="77" t="n">
        <f aca="false">(L38*S2*C38)/1000</f>
        <v>81.2</v>
      </c>
      <c r="N38" s="77" t="n">
        <f aca="false">P5-G38</f>
        <v>75</v>
      </c>
    </row>
    <row r="39" customFormat="false" ht="15.75" hidden="false" customHeight="true" outlineLevel="0" collapsed="false">
      <c r="A39" s="74" t="s">
        <v>217</v>
      </c>
      <c r="B39" s="74" t="n">
        <v>1</v>
      </c>
      <c r="C39" s="74" t="n">
        <v>55</v>
      </c>
      <c r="D39" s="4"/>
      <c r="E39" s="43" t="n">
        <f aca="false">D39*S2</f>
        <v>0</v>
      </c>
      <c r="F39" s="43" t="n">
        <f aca="false">B39*E39</f>
        <v>0</v>
      </c>
      <c r="G39" s="43" t="n">
        <f aca="false">C39*E39/1000</f>
        <v>0</v>
      </c>
      <c r="H39" s="75" t="n">
        <f aca="false">F39/P1</f>
        <v>0</v>
      </c>
      <c r="I39" s="75" t="n">
        <f aca="false">G39/P1</f>
        <v>0</v>
      </c>
      <c r="J39" s="75" t="n">
        <f aca="false">F39*100/P4</f>
        <v>0</v>
      </c>
      <c r="K39" s="75" t="n">
        <f aca="false">G39*100/P5</f>
        <v>0</v>
      </c>
      <c r="L39" s="76" t="n">
        <f aca="false">(P4/B39)/S2</f>
        <v>63.6363636363636</v>
      </c>
      <c r="M39" s="77" t="n">
        <f aca="false">(L39*S2*C39)/1000</f>
        <v>77</v>
      </c>
      <c r="N39" s="77" t="n">
        <f aca="false">P5-G39</f>
        <v>75</v>
      </c>
    </row>
    <row r="40" customFormat="false" ht="15.75" hidden="false" customHeight="true" outlineLevel="0" collapsed="false">
      <c r="A40" s="74" t="s">
        <v>218</v>
      </c>
      <c r="B40" s="74" t="n">
        <v>1.3</v>
      </c>
      <c r="C40" s="74" t="n">
        <v>40</v>
      </c>
      <c r="D40" s="4"/>
      <c r="E40" s="43" t="n">
        <f aca="false">D40*S2</f>
        <v>0</v>
      </c>
      <c r="F40" s="43" t="n">
        <f aca="false">B40*E40</f>
        <v>0</v>
      </c>
      <c r="G40" s="43" t="n">
        <f aca="false">C40*E40/1000</f>
        <v>0</v>
      </c>
      <c r="H40" s="75" t="n">
        <f aca="false">F40/P1</f>
        <v>0</v>
      </c>
      <c r="I40" s="75" t="n">
        <f aca="false">G40/P1</f>
        <v>0</v>
      </c>
      <c r="J40" s="75" t="n">
        <f aca="false">F40*100/P4</f>
        <v>0</v>
      </c>
      <c r="K40" s="75" t="n">
        <f aca="false">G40*100/P5</f>
        <v>0</v>
      </c>
      <c r="L40" s="76" t="n">
        <f aca="false">(P4/B40)/S2</f>
        <v>48.951048951049</v>
      </c>
      <c r="M40" s="77" t="n">
        <f aca="false">(L40*S2*C40)/1000</f>
        <v>43.0769230769231</v>
      </c>
      <c r="N40" s="77" t="n">
        <f aca="false">P5-G40</f>
        <v>75</v>
      </c>
    </row>
    <row r="41" customFormat="false" ht="15.75" hidden="false" customHeight="true" outlineLevel="0" collapsed="false">
      <c r="A41" s="74" t="s">
        <v>219</v>
      </c>
      <c r="B41" s="74" t="n">
        <v>1.5</v>
      </c>
      <c r="C41" s="74" t="n">
        <v>100</v>
      </c>
      <c r="D41" s="4"/>
      <c r="E41" s="43" t="n">
        <f aca="false">D41*S2</f>
        <v>0</v>
      </c>
      <c r="F41" s="43" t="n">
        <f aca="false">B41*E41</f>
        <v>0</v>
      </c>
      <c r="G41" s="43" t="n">
        <f aca="false">C41*E41/1000</f>
        <v>0</v>
      </c>
      <c r="H41" s="75" t="n">
        <f aca="false">F41/P1</f>
        <v>0</v>
      </c>
      <c r="I41" s="75" t="n">
        <f aca="false">G41/P1</f>
        <v>0</v>
      </c>
      <c r="J41" s="75" t="n">
        <f aca="false">F41*100/P4</f>
        <v>0</v>
      </c>
      <c r="K41" s="75" t="n">
        <f aca="false">G41*100/P5</f>
        <v>0</v>
      </c>
      <c r="L41" s="76" t="n">
        <f aca="false">(P4/B41)/S2</f>
        <v>42.4242424242424</v>
      </c>
      <c r="M41" s="77" t="n">
        <f aca="false">(L41*S2*C41)/1000</f>
        <v>93.3333333333333</v>
      </c>
      <c r="N41" s="77" t="n">
        <f aca="false">P5-G41</f>
        <v>75</v>
      </c>
    </row>
    <row r="42" customFormat="false" ht="15.75" hidden="false" customHeight="true" outlineLevel="0" collapsed="false">
      <c r="A42" s="74" t="s">
        <v>220</v>
      </c>
      <c r="B42" s="74" t="n">
        <v>1.5</v>
      </c>
      <c r="C42" s="74" t="n">
        <v>94</v>
      </c>
      <c r="D42" s="4"/>
      <c r="E42" s="43" t="n">
        <f aca="false">D42*S2</f>
        <v>0</v>
      </c>
      <c r="F42" s="43" t="n">
        <f aca="false">B42*E42</f>
        <v>0</v>
      </c>
      <c r="G42" s="43" t="n">
        <f aca="false">C42*E42/1000</f>
        <v>0</v>
      </c>
      <c r="H42" s="75" t="n">
        <f aca="false">F42/P1</f>
        <v>0</v>
      </c>
      <c r="I42" s="75" t="n">
        <f aca="false">G42/P1</f>
        <v>0</v>
      </c>
      <c r="J42" s="75" t="n">
        <f aca="false">F42*100/P4</f>
        <v>0</v>
      </c>
      <c r="K42" s="75" t="n">
        <f aca="false">G42*100/P5</f>
        <v>0</v>
      </c>
      <c r="L42" s="76" t="n">
        <f aca="false">(P4/B42)/S2</f>
        <v>42.4242424242424</v>
      </c>
      <c r="M42" s="77" t="n">
        <f aca="false">(L42*S2*C42)/1000</f>
        <v>87.7333333333334</v>
      </c>
      <c r="N42" s="77" t="n">
        <f aca="false">P5-G42</f>
        <v>75</v>
      </c>
    </row>
    <row r="43" customFormat="false" ht="15.75" hidden="false" customHeight="true" outlineLevel="0" collapsed="false">
      <c r="A43" s="74" t="s">
        <v>221</v>
      </c>
      <c r="B43" s="74" t="n">
        <v>1</v>
      </c>
      <c r="C43" s="74" t="n">
        <v>65</v>
      </c>
      <c r="D43" s="4"/>
      <c r="E43" s="43" t="n">
        <f aca="false">D43*S2</f>
        <v>0</v>
      </c>
      <c r="F43" s="43" t="n">
        <f aca="false">B43*E43</f>
        <v>0</v>
      </c>
      <c r="G43" s="43" t="n">
        <f aca="false">C43*E43/1000</f>
        <v>0</v>
      </c>
      <c r="H43" s="75" t="n">
        <f aca="false">F43/P1</f>
        <v>0</v>
      </c>
      <c r="I43" s="75" t="n">
        <f aca="false">G43/P1</f>
        <v>0</v>
      </c>
      <c r="J43" s="75" t="n">
        <f aca="false">F43*100/P4</f>
        <v>0</v>
      </c>
      <c r="K43" s="75" t="n">
        <f aca="false">G43*100/P5</f>
        <v>0</v>
      </c>
      <c r="L43" s="76" t="n">
        <f aca="false">(P4/B43)/S2</f>
        <v>63.6363636363636</v>
      </c>
      <c r="M43" s="77" t="n">
        <f aca="false">(L43*S2*C43)/1000</f>
        <v>91</v>
      </c>
      <c r="N43" s="77" t="n">
        <f aca="false">P5-G43</f>
        <v>75</v>
      </c>
    </row>
    <row r="44" customFormat="false" ht="15.75" hidden="false" customHeight="true" outlineLevel="0" collapsed="false">
      <c r="A44" s="74" t="s">
        <v>222</v>
      </c>
      <c r="B44" s="74" t="n">
        <v>1.31</v>
      </c>
      <c r="C44" s="74" t="n">
        <v>66</v>
      </c>
      <c r="D44" s="4"/>
      <c r="E44" s="43" t="n">
        <f aca="false">D44*S2</f>
        <v>0</v>
      </c>
      <c r="F44" s="43" t="n">
        <f aca="false">B44*E44</f>
        <v>0</v>
      </c>
      <c r="G44" s="43" t="n">
        <f aca="false">C44*E44/1000</f>
        <v>0</v>
      </c>
      <c r="H44" s="75" t="n">
        <f aca="false">F44/P1</f>
        <v>0</v>
      </c>
      <c r="I44" s="75" t="n">
        <f aca="false">G44/P1</f>
        <v>0</v>
      </c>
      <c r="J44" s="75" t="n">
        <f aca="false">F44*100/P4</f>
        <v>0</v>
      </c>
      <c r="K44" s="75" t="n">
        <f aca="false">G44*100/P5</f>
        <v>0</v>
      </c>
      <c r="L44" s="76" t="n">
        <f aca="false">(P4/B44)/S2</f>
        <v>48.5773768216516</v>
      </c>
      <c r="M44" s="77" t="n">
        <f aca="false">(L44*S2*C44)/1000</f>
        <v>70.5343511450382</v>
      </c>
      <c r="N44" s="77" t="n">
        <f aca="false">P5-G44</f>
        <v>75</v>
      </c>
    </row>
    <row r="45" customFormat="false" ht="15.75" hidden="false" customHeight="true" outlineLevel="0" collapsed="false">
      <c r="A45" s="74" t="s">
        <v>223</v>
      </c>
      <c r="B45" s="74" t="n">
        <v>1</v>
      </c>
      <c r="C45" s="74" t="n">
        <v>41</v>
      </c>
      <c r="D45" s="4"/>
      <c r="E45" s="43" t="n">
        <f aca="false">D45*S2</f>
        <v>0</v>
      </c>
      <c r="F45" s="43" t="n">
        <f aca="false">B45*E45</f>
        <v>0</v>
      </c>
      <c r="G45" s="43" t="n">
        <f aca="false">C45*E45/1000</f>
        <v>0</v>
      </c>
      <c r="H45" s="75" t="n">
        <f aca="false">F45/P1</f>
        <v>0</v>
      </c>
      <c r="I45" s="75" t="n">
        <f aca="false">G45/P1</f>
        <v>0</v>
      </c>
      <c r="J45" s="75" t="n">
        <f aca="false">F45*100/P4</f>
        <v>0</v>
      </c>
      <c r="K45" s="75" t="n">
        <f aca="false">G45*100/P5</f>
        <v>0</v>
      </c>
      <c r="L45" s="76" t="n">
        <f aca="false">(P4/B45)/S2</f>
        <v>63.6363636363636</v>
      </c>
      <c r="M45" s="77" t="n">
        <f aca="false">(L45*S2*C45)/1000</f>
        <v>57.4</v>
      </c>
      <c r="N45" s="77" t="n">
        <f aca="false">P5-G45</f>
        <v>75</v>
      </c>
    </row>
    <row r="46" customFormat="false" ht="15.75" hidden="false" customHeight="true" outlineLevel="0" collapsed="false">
      <c r="A46" s="74" t="s">
        <v>224</v>
      </c>
      <c r="B46" s="74" t="n">
        <v>1</v>
      </c>
      <c r="C46" s="74" t="n">
        <v>92</v>
      </c>
      <c r="D46" s="4"/>
      <c r="E46" s="43" t="n">
        <f aca="false">D46*S2</f>
        <v>0</v>
      </c>
      <c r="F46" s="43" t="n">
        <f aca="false">B46*E46</f>
        <v>0</v>
      </c>
      <c r="G46" s="43" t="n">
        <f aca="false">C46*E46/1000</f>
        <v>0</v>
      </c>
      <c r="H46" s="75" t="n">
        <f aca="false">F46/P1</f>
        <v>0</v>
      </c>
      <c r="I46" s="75" t="n">
        <f aca="false">G46/P1</f>
        <v>0</v>
      </c>
      <c r="J46" s="75" t="n">
        <f aca="false">F46*100/P4</f>
        <v>0</v>
      </c>
      <c r="K46" s="75" t="n">
        <f aca="false">G46*100/P5</f>
        <v>0</v>
      </c>
      <c r="L46" s="76" t="n">
        <f aca="false">(P4/B46)/S2</f>
        <v>63.6363636363636</v>
      </c>
      <c r="M46" s="77" t="n">
        <f aca="false">(L46*S2*C46)/1000</f>
        <v>128.8</v>
      </c>
      <c r="N46" s="77" t="n">
        <f aca="false">P5-G46</f>
        <v>75</v>
      </c>
    </row>
    <row r="47" customFormat="false" ht="15.75" hidden="false" customHeight="true" outlineLevel="0" collapsed="false">
      <c r="A47" s="74" t="s">
        <v>225</v>
      </c>
      <c r="B47" s="74" t="n">
        <v>1.5</v>
      </c>
      <c r="C47" s="74" t="n">
        <v>68</v>
      </c>
      <c r="D47" s="4"/>
      <c r="E47" s="43" t="n">
        <f aca="false">D47*S2</f>
        <v>0</v>
      </c>
      <c r="F47" s="43" t="n">
        <f aca="false">B47*E47</f>
        <v>0</v>
      </c>
      <c r="G47" s="43" t="n">
        <f aca="false">C47*E47/1000</f>
        <v>0</v>
      </c>
      <c r="H47" s="75" t="n">
        <f aca="false">F47/P1</f>
        <v>0</v>
      </c>
      <c r="I47" s="75" t="n">
        <f aca="false">G47/P1</f>
        <v>0</v>
      </c>
      <c r="J47" s="75" t="n">
        <f aca="false">F47*100/P4</f>
        <v>0</v>
      </c>
      <c r="K47" s="75" t="n">
        <f aca="false">G47*100/P5</f>
        <v>0</v>
      </c>
      <c r="L47" s="76" t="n">
        <f aca="false">(P4/B47)/S2</f>
        <v>42.4242424242424</v>
      </c>
      <c r="M47" s="77" t="n">
        <f aca="false">(L47*S2*C47)/1000</f>
        <v>63.4666666666667</v>
      </c>
      <c r="N47" s="77" t="n">
        <f aca="false">P5-G47</f>
        <v>75</v>
      </c>
    </row>
    <row r="48" customFormat="false" ht="15.75" hidden="false" customHeight="true" outlineLevel="0" collapsed="false">
      <c r="A48" s="74" t="s">
        <v>226</v>
      </c>
      <c r="B48" s="74" t="n">
        <v>1</v>
      </c>
      <c r="C48" s="74" t="n">
        <v>45</v>
      </c>
      <c r="D48" s="4"/>
      <c r="E48" s="43" t="n">
        <f aca="false">D48*S2</f>
        <v>0</v>
      </c>
      <c r="F48" s="43" t="n">
        <f aca="false">B48*E48</f>
        <v>0</v>
      </c>
      <c r="G48" s="43" t="n">
        <f aca="false">C48*E48/1000</f>
        <v>0</v>
      </c>
      <c r="H48" s="75" t="n">
        <f aca="false">F48/P1</f>
        <v>0</v>
      </c>
      <c r="I48" s="75" t="n">
        <f aca="false">G48/P1</f>
        <v>0</v>
      </c>
      <c r="J48" s="75" t="n">
        <f aca="false">F48*100/P4</f>
        <v>0</v>
      </c>
      <c r="K48" s="75" t="n">
        <f aca="false">G48*100/P5</f>
        <v>0</v>
      </c>
      <c r="L48" s="76" t="n">
        <f aca="false">(P4/B48)/S2</f>
        <v>63.6363636363636</v>
      </c>
      <c r="M48" s="77" t="n">
        <f aca="false">(L48*S2*C48)/1000</f>
        <v>63</v>
      </c>
      <c r="N48" s="77" t="n">
        <f aca="false">P5-G48</f>
        <v>75</v>
      </c>
    </row>
    <row r="49" customFormat="false" ht="15.75" hidden="false" customHeight="true" outlineLevel="0" collapsed="false">
      <c r="A49" s="74" t="s">
        <v>227</v>
      </c>
      <c r="B49" s="74" t="n">
        <v>1.33</v>
      </c>
      <c r="C49" s="74" t="n">
        <v>67</v>
      </c>
      <c r="D49" s="4"/>
      <c r="E49" s="43" t="n">
        <f aca="false">D49*S2</f>
        <v>0</v>
      </c>
      <c r="F49" s="43" t="n">
        <f aca="false">B49*E49</f>
        <v>0</v>
      </c>
      <c r="G49" s="43" t="n">
        <f aca="false">C49*E49/1000</f>
        <v>0</v>
      </c>
      <c r="H49" s="75" t="n">
        <f aca="false">F49/P1</f>
        <v>0</v>
      </c>
      <c r="I49" s="75" t="n">
        <f aca="false">G49/P1</f>
        <v>0</v>
      </c>
      <c r="J49" s="75" t="n">
        <f aca="false">F49*100/P4</f>
        <v>0</v>
      </c>
      <c r="K49" s="75" t="n">
        <f aca="false">G49*100/P5</f>
        <v>0</v>
      </c>
      <c r="L49" s="76" t="n">
        <f aca="false">(P4/B49)/S2</f>
        <v>47.8468899521531</v>
      </c>
      <c r="M49" s="77" t="n">
        <f aca="false">(L49*S2*C49)/1000</f>
        <v>70.5263157894737</v>
      </c>
      <c r="N49" s="77" t="n">
        <f aca="false">P5-G49</f>
        <v>75</v>
      </c>
    </row>
    <row r="50" customFormat="false" ht="15.75" hidden="false" customHeight="true" outlineLevel="0" collapsed="false">
      <c r="A50" s="74" t="s">
        <v>228</v>
      </c>
      <c r="B50" s="74" t="n">
        <v>1</v>
      </c>
      <c r="C50" s="74" t="n">
        <v>36</v>
      </c>
      <c r="D50" s="4"/>
      <c r="E50" s="43" t="n">
        <f aca="false">D50*S2</f>
        <v>0</v>
      </c>
      <c r="F50" s="43" t="n">
        <f aca="false">B50*E50</f>
        <v>0</v>
      </c>
      <c r="G50" s="43" t="n">
        <f aca="false">C50*E50/1000</f>
        <v>0</v>
      </c>
      <c r="H50" s="75" t="n">
        <f aca="false">F50/P1</f>
        <v>0</v>
      </c>
      <c r="I50" s="75" t="n">
        <f aca="false">G50/P1</f>
        <v>0</v>
      </c>
      <c r="J50" s="75" t="n">
        <f aca="false">F50*100/P4</f>
        <v>0</v>
      </c>
      <c r="K50" s="75" t="n">
        <f aca="false">G50*100/P5</f>
        <v>0</v>
      </c>
      <c r="L50" s="76" t="n">
        <f aca="false">(P4/B50)/S2</f>
        <v>63.6363636363636</v>
      </c>
      <c r="M50" s="77" t="n">
        <f aca="false">(L50*S2*C50)/1000</f>
        <v>50.4</v>
      </c>
      <c r="N50" s="77" t="n">
        <f aca="false">P5-G50</f>
        <v>75</v>
      </c>
    </row>
    <row r="51" customFormat="false" ht="15.75" hidden="false" customHeight="true" outlineLevel="0" collapsed="false">
      <c r="A51" s="74" t="s">
        <v>229</v>
      </c>
      <c r="B51" s="74" t="n">
        <v>1</v>
      </c>
      <c r="C51" s="74" t="n">
        <v>40</v>
      </c>
      <c r="D51" s="4"/>
      <c r="E51" s="43" t="n">
        <f aca="false">D51*S2</f>
        <v>0</v>
      </c>
      <c r="F51" s="43" t="n">
        <f aca="false">B51*E51</f>
        <v>0</v>
      </c>
      <c r="G51" s="43" t="n">
        <f aca="false">C51*E51/1000</f>
        <v>0</v>
      </c>
      <c r="H51" s="75" t="n">
        <f aca="false">F51/P1</f>
        <v>0</v>
      </c>
      <c r="I51" s="75" t="n">
        <f aca="false">G51/P1</f>
        <v>0</v>
      </c>
      <c r="J51" s="75" t="n">
        <f aca="false">F51*100/P4</f>
        <v>0</v>
      </c>
      <c r="K51" s="75" t="n">
        <f aca="false">G51*100/P5</f>
        <v>0</v>
      </c>
      <c r="L51" s="76" t="n">
        <f aca="false">(P4/B51)/S2</f>
        <v>63.6363636363636</v>
      </c>
      <c r="M51" s="77" t="n">
        <f aca="false">(L51*S2*C51)/1000</f>
        <v>56</v>
      </c>
      <c r="N51" s="77" t="n">
        <f aca="false">P5-G51</f>
        <v>75</v>
      </c>
    </row>
    <row r="52" customFormat="false" ht="15.75" hidden="false" customHeight="true" outlineLevel="0" collapsed="false">
      <c r="D52" s="13"/>
    </row>
    <row r="53" customFormat="false" ht="15.75" hidden="false" customHeight="true" outlineLevel="0" collapsed="false">
      <c r="D53" s="13"/>
    </row>
    <row r="54" customFormat="false" ht="15.75" hidden="false" customHeight="true" outlineLevel="0" collapsed="false">
      <c r="D54" s="13"/>
    </row>
    <row r="55" customFormat="false" ht="15.75" hidden="false" customHeight="true" outlineLevel="0" collapsed="false">
      <c r="D55" s="13"/>
    </row>
    <row r="56" customFormat="false" ht="15.75" hidden="false" customHeight="true" outlineLevel="0" collapsed="false">
      <c r="D56" s="13"/>
    </row>
    <row r="57" customFormat="false" ht="15.75" hidden="false" customHeight="true" outlineLevel="0" collapsed="false">
      <c r="D57" s="13"/>
    </row>
    <row r="58" customFormat="false" ht="15.75" hidden="false" customHeight="true" outlineLevel="0" collapsed="false">
      <c r="D58" s="13"/>
    </row>
    <row r="59" customFormat="false" ht="15.75" hidden="false" customHeight="true" outlineLevel="0" collapsed="false">
      <c r="D59" s="13"/>
    </row>
    <row r="60" customFormat="false" ht="15.75" hidden="false" customHeight="true" outlineLevel="0" collapsed="false">
      <c r="D60" s="13"/>
    </row>
    <row r="61" customFormat="false" ht="15.75" hidden="false" customHeight="true" outlineLevel="0" collapsed="false">
      <c r="D61" s="13"/>
    </row>
    <row r="62" customFormat="false" ht="15.75" hidden="false" customHeight="true" outlineLevel="0" collapsed="false">
      <c r="D62" s="13"/>
    </row>
    <row r="63" customFormat="false" ht="15.75" hidden="false" customHeight="true" outlineLevel="0" collapsed="false">
      <c r="D63" s="13"/>
    </row>
    <row r="64" customFormat="false" ht="15.75" hidden="false" customHeight="true" outlineLevel="0" collapsed="false">
      <c r="D64" s="13"/>
    </row>
    <row r="65" customFormat="false" ht="15.75" hidden="false" customHeight="true" outlineLevel="0" collapsed="false">
      <c r="D65" s="13"/>
    </row>
    <row r="66" customFormat="false" ht="15.75" hidden="false" customHeight="true" outlineLevel="0" collapsed="false">
      <c r="D66" s="13"/>
    </row>
    <row r="67" customFormat="false" ht="15.75" hidden="false" customHeight="true" outlineLevel="0" collapsed="false">
      <c r="D67" s="13"/>
    </row>
    <row r="68" customFormat="false" ht="15.75" hidden="false" customHeight="true" outlineLevel="0" collapsed="false">
      <c r="D68" s="13"/>
    </row>
    <row r="69" customFormat="false" ht="15.75" hidden="false" customHeight="true" outlineLevel="0" collapsed="false">
      <c r="D69" s="13"/>
    </row>
    <row r="70" customFormat="false" ht="15.75" hidden="false" customHeight="true" outlineLevel="0" collapsed="false">
      <c r="D70" s="13"/>
    </row>
    <row r="71" customFormat="false" ht="15.75" hidden="false" customHeight="true" outlineLevel="0" collapsed="false">
      <c r="D71" s="13"/>
    </row>
    <row r="72" customFormat="false" ht="15.75" hidden="false" customHeight="true" outlineLevel="0" collapsed="false">
      <c r="D72" s="13"/>
    </row>
    <row r="73" customFormat="false" ht="15.75" hidden="false" customHeight="true" outlineLevel="0" collapsed="false">
      <c r="D73" s="13"/>
    </row>
    <row r="74" customFormat="false" ht="15.75" hidden="false" customHeight="true" outlineLevel="0" collapsed="false">
      <c r="D74" s="13"/>
    </row>
    <row r="75" customFormat="false" ht="15.75" hidden="false" customHeight="true" outlineLevel="0" collapsed="false">
      <c r="D75" s="13"/>
    </row>
    <row r="76" customFormat="false" ht="15.75" hidden="false" customHeight="true" outlineLevel="0" collapsed="false">
      <c r="D76" s="13"/>
    </row>
    <row r="77" customFormat="false" ht="15.75" hidden="false" customHeight="true" outlineLevel="0" collapsed="false">
      <c r="D77" s="13"/>
    </row>
    <row r="78" customFormat="false" ht="15.75" hidden="false" customHeight="true" outlineLevel="0" collapsed="false">
      <c r="D78" s="13"/>
    </row>
    <row r="79" customFormat="false" ht="15.75" hidden="false" customHeight="true" outlineLevel="0" collapsed="false">
      <c r="D79" s="13"/>
    </row>
    <row r="80" customFormat="false" ht="15.75" hidden="false" customHeight="true" outlineLevel="0" collapsed="false">
      <c r="D80" s="13"/>
    </row>
    <row r="81" customFormat="false" ht="15.75" hidden="false" customHeight="true" outlineLevel="0" collapsed="false">
      <c r="D81" s="13"/>
    </row>
    <row r="82" customFormat="false" ht="15.75" hidden="false" customHeight="true" outlineLevel="0" collapsed="false">
      <c r="D82" s="13"/>
    </row>
    <row r="83" customFormat="false" ht="15.75" hidden="false" customHeight="true" outlineLevel="0" collapsed="false">
      <c r="D83" s="13"/>
    </row>
    <row r="84" customFormat="false" ht="15.75" hidden="false" customHeight="true" outlineLevel="0" collapsed="false">
      <c r="D84" s="13"/>
    </row>
    <row r="85" customFormat="false" ht="15.75" hidden="false" customHeight="true" outlineLevel="0" collapsed="false">
      <c r="D85" s="13"/>
    </row>
    <row r="86" customFormat="false" ht="15.75" hidden="false" customHeight="true" outlineLevel="0" collapsed="false">
      <c r="D86" s="13"/>
    </row>
    <row r="87" customFormat="false" ht="15.75" hidden="false" customHeight="true" outlineLevel="0" collapsed="false">
      <c r="D87" s="13"/>
    </row>
    <row r="88" customFormat="false" ht="15.75" hidden="false" customHeight="true" outlineLevel="0" collapsed="false">
      <c r="D88" s="13"/>
    </row>
    <row r="89" customFormat="false" ht="15.75" hidden="false" customHeight="true" outlineLevel="0" collapsed="false">
      <c r="D89" s="13"/>
    </row>
    <row r="90" customFormat="false" ht="15.75" hidden="false" customHeight="true" outlineLevel="0" collapsed="false">
      <c r="D90" s="13"/>
    </row>
    <row r="91" customFormat="false" ht="15.75" hidden="false" customHeight="true" outlineLevel="0" collapsed="false">
      <c r="D91" s="13"/>
    </row>
    <row r="92" customFormat="false" ht="15.75" hidden="false" customHeight="true" outlineLevel="0" collapsed="false">
      <c r="D92" s="13"/>
    </row>
    <row r="93" customFormat="false" ht="15.75" hidden="false" customHeight="true" outlineLevel="0" collapsed="false">
      <c r="D93" s="13"/>
    </row>
    <row r="94" customFormat="false" ht="15.75" hidden="false" customHeight="true" outlineLevel="0" collapsed="false">
      <c r="D94" s="13"/>
    </row>
    <row r="95" customFormat="false" ht="15.75" hidden="false" customHeight="true" outlineLevel="0" collapsed="false">
      <c r="D95" s="13"/>
    </row>
    <row r="96" customFormat="false" ht="15.75" hidden="false" customHeight="true" outlineLevel="0" collapsed="false">
      <c r="D96" s="13"/>
    </row>
    <row r="97" customFormat="false" ht="15.75" hidden="false" customHeight="true" outlineLevel="0" collapsed="false">
      <c r="D97" s="13"/>
    </row>
    <row r="98" customFormat="false" ht="15.75" hidden="false" customHeight="true" outlineLevel="0" collapsed="false">
      <c r="D98" s="13"/>
    </row>
    <row r="99" customFormat="false" ht="15.75" hidden="false" customHeight="true" outlineLevel="0" collapsed="false">
      <c r="D99" s="13"/>
    </row>
    <row r="100" customFormat="false" ht="15.75" hidden="false" customHeight="true" outlineLevel="0" collapsed="false">
      <c r="D100" s="13"/>
    </row>
    <row r="101" customFormat="false" ht="15.75" hidden="false" customHeight="true" outlineLevel="0" collapsed="false">
      <c r="D101" s="13"/>
    </row>
    <row r="102" customFormat="false" ht="15.75" hidden="false" customHeight="true" outlineLevel="0" collapsed="false">
      <c r="D102" s="13"/>
    </row>
    <row r="103" customFormat="false" ht="15.75" hidden="false" customHeight="true" outlineLevel="0" collapsed="false">
      <c r="D103" s="13"/>
    </row>
    <row r="104" customFormat="false" ht="15.75" hidden="false" customHeight="true" outlineLevel="0" collapsed="false">
      <c r="D104" s="13"/>
    </row>
    <row r="105" customFormat="false" ht="15.75" hidden="false" customHeight="true" outlineLevel="0" collapsed="false">
      <c r="D105" s="13"/>
    </row>
    <row r="106" customFormat="false" ht="15.75" hidden="false" customHeight="true" outlineLevel="0" collapsed="false">
      <c r="D106" s="13"/>
    </row>
    <row r="107" customFormat="false" ht="15.75" hidden="false" customHeight="true" outlineLevel="0" collapsed="false">
      <c r="D107" s="13"/>
    </row>
    <row r="108" customFormat="false" ht="15.75" hidden="false" customHeight="true" outlineLevel="0" collapsed="false">
      <c r="D108" s="13"/>
    </row>
    <row r="109" customFormat="false" ht="15.75" hidden="false" customHeight="true" outlineLevel="0" collapsed="false">
      <c r="D109" s="13"/>
    </row>
    <row r="110" customFormat="false" ht="15.75" hidden="false" customHeight="true" outlineLevel="0" collapsed="false">
      <c r="D110" s="13"/>
    </row>
    <row r="111" customFormat="false" ht="15.75" hidden="false" customHeight="true" outlineLevel="0" collapsed="false">
      <c r="D111" s="13"/>
    </row>
    <row r="112" customFormat="false" ht="15.75" hidden="false" customHeight="true" outlineLevel="0" collapsed="false">
      <c r="D112" s="13"/>
    </row>
    <row r="113" customFormat="false" ht="15.75" hidden="false" customHeight="true" outlineLevel="0" collapsed="false">
      <c r="D113" s="13"/>
    </row>
    <row r="114" customFormat="false" ht="15.75" hidden="false" customHeight="true" outlineLevel="0" collapsed="false">
      <c r="D114" s="13"/>
    </row>
    <row r="115" customFormat="false" ht="15.75" hidden="false" customHeight="true" outlineLevel="0" collapsed="false">
      <c r="D115" s="13"/>
    </row>
    <row r="116" customFormat="false" ht="15.75" hidden="false" customHeight="true" outlineLevel="0" collapsed="false">
      <c r="D116" s="13"/>
    </row>
    <row r="117" customFormat="false" ht="15.75" hidden="false" customHeight="true" outlineLevel="0" collapsed="false">
      <c r="D117" s="13"/>
    </row>
    <row r="118" customFormat="false" ht="15.75" hidden="false" customHeight="true" outlineLevel="0" collapsed="false">
      <c r="D118" s="13"/>
    </row>
    <row r="119" customFormat="false" ht="15.75" hidden="false" customHeight="true" outlineLevel="0" collapsed="false">
      <c r="D119" s="13"/>
    </row>
    <row r="120" customFormat="false" ht="15.75" hidden="false" customHeight="true" outlineLevel="0" collapsed="false">
      <c r="D120" s="13"/>
    </row>
    <row r="121" customFormat="false" ht="15.75" hidden="false" customHeight="true" outlineLevel="0" collapsed="false">
      <c r="D121" s="13"/>
    </row>
    <row r="122" customFormat="false" ht="15.75" hidden="false" customHeight="true" outlineLevel="0" collapsed="false">
      <c r="D122" s="13"/>
    </row>
    <row r="123" customFormat="false" ht="15.75" hidden="false" customHeight="true" outlineLevel="0" collapsed="false">
      <c r="D123" s="13"/>
    </row>
    <row r="124" customFormat="false" ht="15.75" hidden="false" customHeight="true" outlineLevel="0" collapsed="false">
      <c r="D124" s="13"/>
    </row>
    <row r="125" customFormat="false" ht="15.75" hidden="false" customHeight="true" outlineLevel="0" collapsed="false">
      <c r="D125" s="13"/>
    </row>
    <row r="126" customFormat="false" ht="15.75" hidden="false" customHeight="true" outlineLevel="0" collapsed="false">
      <c r="D126" s="13"/>
    </row>
    <row r="127" customFormat="false" ht="15.75" hidden="false" customHeight="true" outlineLevel="0" collapsed="false">
      <c r="D127" s="13"/>
    </row>
    <row r="128" customFormat="false" ht="15.75" hidden="false" customHeight="true" outlineLevel="0" collapsed="false">
      <c r="D128" s="13"/>
    </row>
    <row r="129" customFormat="false" ht="15.75" hidden="false" customHeight="true" outlineLevel="0" collapsed="false">
      <c r="D129" s="13"/>
    </row>
    <row r="130" customFormat="false" ht="15.75" hidden="false" customHeight="true" outlineLevel="0" collapsed="false">
      <c r="D130" s="13"/>
    </row>
    <row r="131" customFormat="false" ht="15.75" hidden="false" customHeight="true" outlineLevel="0" collapsed="false">
      <c r="D131" s="13"/>
    </row>
    <row r="132" customFormat="false" ht="15.75" hidden="false" customHeight="true" outlineLevel="0" collapsed="false">
      <c r="D132" s="13"/>
    </row>
    <row r="133" customFormat="false" ht="15.75" hidden="false" customHeight="true" outlineLevel="0" collapsed="false">
      <c r="D133" s="13"/>
    </row>
    <row r="134" customFormat="false" ht="15.75" hidden="false" customHeight="true" outlineLevel="0" collapsed="false">
      <c r="D134" s="13"/>
    </row>
    <row r="135" customFormat="false" ht="15.75" hidden="false" customHeight="true" outlineLevel="0" collapsed="false">
      <c r="D135" s="13"/>
    </row>
    <row r="136" customFormat="false" ht="15.75" hidden="false" customHeight="true" outlineLevel="0" collapsed="false">
      <c r="D136" s="13"/>
    </row>
    <row r="137" customFormat="false" ht="15.75" hidden="false" customHeight="true" outlineLevel="0" collapsed="false">
      <c r="D137" s="13"/>
    </row>
    <row r="138" customFormat="false" ht="15.75" hidden="false" customHeight="true" outlineLevel="0" collapsed="false">
      <c r="D138" s="13"/>
    </row>
    <row r="139" customFormat="false" ht="15.75" hidden="false" customHeight="true" outlineLevel="0" collapsed="false">
      <c r="D139" s="13"/>
    </row>
    <row r="140" customFormat="false" ht="15.75" hidden="false" customHeight="true" outlineLevel="0" collapsed="false">
      <c r="D140" s="13"/>
    </row>
    <row r="141" customFormat="false" ht="15.75" hidden="false" customHeight="true" outlineLevel="0" collapsed="false">
      <c r="D141" s="13"/>
    </row>
    <row r="142" customFormat="false" ht="15.75" hidden="false" customHeight="true" outlineLevel="0" collapsed="false">
      <c r="D142" s="13"/>
    </row>
    <row r="143" customFormat="false" ht="15.75" hidden="false" customHeight="true" outlineLevel="0" collapsed="false">
      <c r="D143" s="13"/>
    </row>
    <row r="144" customFormat="false" ht="15.75" hidden="false" customHeight="true" outlineLevel="0" collapsed="false">
      <c r="D144" s="13"/>
    </row>
    <row r="145" customFormat="false" ht="15.75" hidden="false" customHeight="true" outlineLevel="0" collapsed="false">
      <c r="D145" s="13"/>
    </row>
    <row r="146" customFormat="false" ht="15.75" hidden="false" customHeight="true" outlineLevel="0" collapsed="false">
      <c r="D146" s="13"/>
    </row>
    <row r="147" customFormat="false" ht="15.75" hidden="false" customHeight="true" outlineLevel="0" collapsed="false">
      <c r="D147" s="13"/>
    </row>
    <row r="148" customFormat="false" ht="15.75" hidden="false" customHeight="true" outlineLevel="0" collapsed="false">
      <c r="D148" s="13"/>
    </row>
    <row r="149" customFormat="false" ht="15.75" hidden="false" customHeight="true" outlineLevel="0" collapsed="false">
      <c r="D149" s="13"/>
    </row>
    <row r="150" customFormat="false" ht="15.75" hidden="false" customHeight="true" outlineLevel="0" collapsed="false">
      <c r="D150" s="13"/>
    </row>
    <row r="151" customFormat="false" ht="15.75" hidden="false" customHeight="true" outlineLevel="0" collapsed="false">
      <c r="D151" s="13"/>
    </row>
    <row r="152" customFormat="false" ht="15.75" hidden="false" customHeight="true" outlineLevel="0" collapsed="false">
      <c r="D152" s="13"/>
    </row>
    <row r="153" customFormat="false" ht="15.75" hidden="false" customHeight="true" outlineLevel="0" collapsed="false">
      <c r="D153" s="13"/>
    </row>
    <row r="154" customFormat="false" ht="15.75" hidden="false" customHeight="true" outlineLevel="0" collapsed="false">
      <c r="D154" s="13"/>
    </row>
    <row r="155" customFormat="false" ht="15.75" hidden="false" customHeight="true" outlineLevel="0" collapsed="false">
      <c r="D155" s="13"/>
    </row>
    <row r="156" customFormat="false" ht="15.75" hidden="false" customHeight="true" outlineLevel="0" collapsed="false">
      <c r="D156" s="13"/>
    </row>
    <row r="157" customFormat="false" ht="15.75" hidden="false" customHeight="true" outlineLevel="0" collapsed="false">
      <c r="D157" s="13"/>
    </row>
    <row r="158" customFormat="false" ht="15.75" hidden="false" customHeight="true" outlineLevel="0" collapsed="false">
      <c r="D158" s="13"/>
    </row>
    <row r="159" customFormat="false" ht="15.75" hidden="false" customHeight="true" outlineLevel="0" collapsed="false">
      <c r="D159" s="13"/>
    </row>
    <row r="160" customFormat="false" ht="15.75" hidden="false" customHeight="true" outlineLevel="0" collapsed="false">
      <c r="D160" s="13"/>
    </row>
    <row r="161" customFormat="false" ht="15.75" hidden="false" customHeight="true" outlineLevel="0" collapsed="false">
      <c r="D161" s="13"/>
    </row>
    <row r="162" customFormat="false" ht="15.75" hidden="false" customHeight="true" outlineLevel="0" collapsed="false">
      <c r="D162" s="13"/>
    </row>
    <row r="163" customFormat="false" ht="15.75" hidden="false" customHeight="true" outlineLevel="0" collapsed="false">
      <c r="D163" s="13"/>
    </row>
    <row r="164" customFormat="false" ht="15.75" hidden="false" customHeight="true" outlineLevel="0" collapsed="false">
      <c r="D164" s="13"/>
    </row>
    <row r="165" customFormat="false" ht="15.75" hidden="false" customHeight="true" outlineLevel="0" collapsed="false">
      <c r="D165" s="13"/>
    </row>
    <row r="166" customFormat="false" ht="15.75" hidden="false" customHeight="true" outlineLevel="0" collapsed="false">
      <c r="D166" s="13"/>
    </row>
    <row r="167" customFormat="false" ht="15.75" hidden="false" customHeight="true" outlineLevel="0" collapsed="false">
      <c r="D167" s="13"/>
    </row>
    <row r="168" customFormat="false" ht="15.75" hidden="false" customHeight="true" outlineLevel="0" collapsed="false">
      <c r="D168" s="13"/>
    </row>
    <row r="169" customFormat="false" ht="15.75" hidden="false" customHeight="true" outlineLevel="0" collapsed="false">
      <c r="D169" s="13"/>
    </row>
    <row r="170" customFormat="false" ht="15.75" hidden="false" customHeight="true" outlineLevel="0" collapsed="false">
      <c r="D170" s="13"/>
    </row>
    <row r="171" customFormat="false" ht="15.75" hidden="false" customHeight="true" outlineLevel="0" collapsed="false">
      <c r="D171" s="13"/>
    </row>
    <row r="172" customFormat="false" ht="15.75" hidden="false" customHeight="true" outlineLevel="0" collapsed="false">
      <c r="D172" s="13"/>
    </row>
    <row r="173" customFormat="false" ht="15.75" hidden="false" customHeight="true" outlineLevel="0" collapsed="false">
      <c r="D173" s="13"/>
    </row>
    <row r="174" customFormat="false" ht="15.75" hidden="false" customHeight="true" outlineLevel="0" collapsed="false">
      <c r="D174" s="13"/>
    </row>
    <row r="175" customFormat="false" ht="15.75" hidden="false" customHeight="true" outlineLevel="0" collapsed="false">
      <c r="D175" s="13"/>
    </row>
    <row r="176" customFormat="false" ht="15.75" hidden="false" customHeight="true" outlineLevel="0" collapsed="false">
      <c r="D176" s="13"/>
    </row>
    <row r="177" customFormat="false" ht="15.75" hidden="false" customHeight="true" outlineLevel="0" collapsed="false">
      <c r="D177" s="13"/>
    </row>
    <row r="178" customFormat="false" ht="15.75" hidden="false" customHeight="true" outlineLevel="0" collapsed="false">
      <c r="D178" s="13"/>
    </row>
    <row r="179" customFormat="false" ht="15.75" hidden="false" customHeight="true" outlineLevel="0" collapsed="false">
      <c r="D179" s="13"/>
    </row>
    <row r="180" customFormat="false" ht="15.75" hidden="false" customHeight="true" outlineLevel="0" collapsed="false">
      <c r="D180" s="13"/>
    </row>
    <row r="181" customFormat="false" ht="15.75" hidden="false" customHeight="true" outlineLevel="0" collapsed="false">
      <c r="D181" s="13"/>
    </row>
    <row r="182" customFormat="false" ht="15.75" hidden="false" customHeight="true" outlineLevel="0" collapsed="false">
      <c r="D182" s="13"/>
    </row>
    <row r="183" customFormat="false" ht="15.75" hidden="false" customHeight="true" outlineLevel="0" collapsed="false">
      <c r="D183" s="13"/>
    </row>
    <row r="184" customFormat="false" ht="15.75" hidden="false" customHeight="true" outlineLevel="0" collapsed="false">
      <c r="D184" s="13"/>
    </row>
    <row r="185" customFormat="false" ht="15.75" hidden="false" customHeight="true" outlineLevel="0" collapsed="false">
      <c r="D185" s="13"/>
    </row>
    <row r="186" customFormat="false" ht="15.75" hidden="false" customHeight="true" outlineLevel="0" collapsed="false">
      <c r="D186" s="13"/>
    </row>
    <row r="187" customFormat="false" ht="15.75" hidden="false" customHeight="true" outlineLevel="0" collapsed="false">
      <c r="D187" s="13"/>
    </row>
    <row r="188" customFormat="false" ht="15.75" hidden="false" customHeight="true" outlineLevel="0" collapsed="false">
      <c r="D188" s="13"/>
    </row>
    <row r="189" customFormat="false" ht="15.75" hidden="false" customHeight="true" outlineLevel="0" collapsed="false">
      <c r="D189" s="13"/>
    </row>
    <row r="190" customFormat="false" ht="15.75" hidden="false" customHeight="true" outlineLevel="0" collapsed="false">
      <c r="D190" s="13"/>
    </row>
    <row r="191" customFormat="false" ht="15.75" hidden="false" customHeight="true" outlineLevel="0" collapsed="false">
      <c r="D191" s="13"/>
    </row>
    <row r="192" customFormat="false" ht="15.75" hidden="false" customHeight="true" outlineLevel="0" collapsed="false">
      <c r="D192" s="13"/>
    </row>
    <row r="193" customFormat="false" ht="15.75" hidden="false" customHeight="true" outlineLevel="0" collapsed="false">
      <c r="D193" s="13"/>
    </row>
    <row r="194" customFormat="false" ht="15.75" hidden="false" customHeight="true" outlineLevel="0" collapsed="false">
      <c r="D194" s="13"/>
    </row>
    <row r="195" customFormat="false" ht="15.75" hidden="false" customHeight="true" outlineLevel="0" collapsed="false">
      <c r="D195" s="13"/>
    </row>
    <row r="196" customFormat="false" ht="15.75" hidden="false" customHeight="true" outlineLevel="0" collapsed="false">
      <c r="D196" s="13"/>
    </row>
    <row r="197" customFormat="false" ht="15.75" hidden="false" customHeight="true" outlineLevel="0" collapsed="false">
      <c r="D197" s="13"/>
    </row>
    <row r="198" customFormat="false" ht="15.75" hidden="false" customHeight="true" outlineLevel="0" collapsed="false">
      <c r="D198" s="13"/>
    </row>
    <row r="199" customFormat="false" ht="15.75" hidden="false" customHeight="true" outlineLevel="0" collapsed="false">
      <c r="D199" s="13"/>
    </row>
    <row r="200" customFormat="false" ht="15.75" hidden="false" customHeight="true" outlineLevel="0" collapsed="false">
      <c r="D200" s="13"/>
    </row>
    <row r="201" customFormat="false" ht="15.75" hidden="false" customHeight="true" outlineLevel="0" collapsed="false">
      <c r="D201" s="13"/>
    </row>
    <row r="202" customFormat="false" ht="15.75" hidden="false" customHeight="true" outlineLevel="0" collapsed="false">
      <c r="D202" s="13"/>
    </row>
    <row r="203" customFormat="false" ht="15.75" hidden="false" customHeight="true" outlineLevel="0" collapsed="false">
      <c r="D203" s="13"/>
    </row>
    <row r="204" customFormat="false" ht="15.75" hidden="false" customHeight="true" outlineLevel="0" collapsed="false">
      <c r="D204" s="13"/>
    </row>
    <row r="205" customFormat="false" ht="15.75" hidden="false" customHeight="true" outlineLevel="0" collapsed="false">
      <c r="D205" s="13"/>
    </row>
    <row r="206" customFormat="false" ht="15.75" hidden="false" customHeight="true" outlineLevel="0" collapsed="false">
      <c r="D206" s="13"/>
    </row>
    <row r="207" customFormat="false" ht="15.75" hidden="false" customHeight="true" outlineLevel="0" collapsed="false">
      <c r="D207" s="13"/>
    </row>
    <row r="208" customFormat="false" ht="15.75" hidden="false" customHeight="true" outlineLevel="0" collapsed="false">
      <c r="D208" s="13"/>
    </row>
    <row r="209" customFormat="false" ht="15.75" hidden="false" customHeight="true" outlineLevel="0" collapsed="false">
      <c r="D209" s="13"/>
    </row>
    <row r="210" customFormat="false" ht="15.75" hidden="false" customHeight="true" outlineLevel="0" collapsed="false">
      <c r="D210" s="13"/>
    </row>
    <row r="211" customFormat="false" ht="15.75" hidden="false" customHeight="true" outlineLevel="0" collapsed="false">
      <c r="D211" s="13"/>
    </row>
    <row r="212" customFormat="false" ht="15.75" hidden="false" customHeight="true" outlineLevel="0" collapsed="false">
      <c r="D212" s="13"/>
    </row>
    <row r="213" customFormat="false" ht="15.75" hidden="false" customHeight="true" outlineLevel="0" collapsed="false">
      <c r="D213" s="13"/>
    </row>
    <row r="214" customFormat="false" ht="15.75" hidden="false" customHeight="true" outlineLevel="0" collapsed="false">
      <c r="D214" s="13"/>
    </row>
    <row r="215" customFormat="false" ht="15.75" hidden="false" customHeight="true" outlineLevel="0" collapsed="false">
      <c r="D215" s="13"/>
    </row>
    <row r="216" customFormat="false" ht="15.75" hidden="false" customHeight="true" outlineLevel="0" collapsed="false">
      <c r="D216" s="13"/>
    </row>
    <row r="217" customFormat="false" ht="15.75" hidden="false" customHeight="true" outlineLevel="0" collapsed="false">
      <c r="D217" s="13"/>
    </row>
    <row r="218" customFormat="false" ht="15.75" hidden="false" customHeight="true" outlineLevel="0" collapsed="false">
      <c r="D218" s="13"/>
    </row>
    <row r="219" customFormat="false" ht="15.75" hidden="false" customHeight="true" outlineLevel="0" collapsed="false">
      <c r="D219" s="13"/>
    </row>
    <row r="220" customFormat="false" ht="15.75" hidden="false" customHeight="true" outlineLevel="0" collapsed="false">
      <c r="D220" s="13"/>
    </row>
    <row r="221" customFormat="false" ht="15.75" hidden="false" customHeight="true" outlineLevel="0" collapsed="false">
      <c r="D221" s="13"/>
    </row>
    <row r="222" customFormat="false" ht="15.75" hidden="false" customHeight="true" outlineLevel="0" collapsed="false">
      <c r="D222" s="13"/>
    </row>
    <row r="223" customFormat="false" ht="15.75" hidden="false" customHeight="true" outlineLevel="0" collapsed="false">
      <c r="D223" s="13"/>
    </row>
    <row r="224" customFormat="false" ht="15.75" hidden="false" customHeight="true" outlineLevel="0" collapsed="false">
      <c r="D224" s="13"/>
    </row>
    <row r="225" customFormat="false" ht="15.75" hidden="false" customHeight="true" outlineLevel="0" collapsed="false">
      <c r="D225" s="13"/>
    </row>
    <row r="226" customFormat="false" ht="15.75" hidden="false" customHeight="true" outlineLevel="0" collapsed="false">
      <c r="D226" s="13"/>
    </row>
    <row r="227" customFormat="false" ht="15.75" hidden="false" customHeight="true" outlineLevel="0" collapsed="false">
      <c r="D227" s="13"/>
    </row>
    <row r="228" customFormat="false" ht="15.75" hidden="false" customHeight="true" outlineLevel="0" collapsed="false">
      <c r="D228" s="13"/>
    </row>
    <row r="229" customFormat="false" ht="15.75" hidden="false" customHeight="true" outlineLevel="0" collapsed="false">
      <c r="D229" s="13"/>
    </row>
    <row r="230" customFormat="false" ht="15.75" hidden="false" customHeight="true" outlineLevel="0" collapsed="false">
      <c r="D230" s="13"/>
    </row>
    <row r="231" customFormat="false" ht="15.75" hidden="false" customHeight="true" outlineLevel="0" collapsed="false">
      <c r="D231" s="13"/>
    </row>
    <row r="232" customFormat="false" ht="15.75" hidden="false" customHeight="true" outlineLevel="0" collapsed="false">
      <c r="D232" s="13"/>
    </row>
    <row r="233" customFormat="false" ht="15.75" hidden="false" customHeight="true" outlineLevel="0" collapsed="false">
      <c r="D233" s="13"/>
    </row>
    <row r="234" customFormat="false" ht="15.75" hidden="false" customHeight="true" outlineLevel="0" collapsed="false">
      <c r="D234" s="13"/>
    </row>
    <row r="235" customFormat="false" ht="15.75" hidden="false" customHeight="true" outlineLevel="0" collapsed="false">
      <c r="D235" s="13"/>
    </row>
    <row r="236" customFormat="false" ht="15.75" hidden="false" customHeight="true" outlineLevel="0" collapsed="false">
      <c r="D236" s="13"/>
    </row>
    <row r="237" customFormat="false" ht="15.75" hidden="false" customHeight="true" outlineLevel="0" collapsed="false">
      <c r="D237" s="13"/>
    </row>
    <row r="238" customFormat="false" ht="15.75" hidden="false" customHeight="true" outlineLevel="0" collapsed="false">
      <c r="D238" s="13"/>
    </row>
    <row r="239" customFormat="false" ht="15.75" hidden="false" customHeight="true" outlineLevel="0" collapsed="false">
      <c r="D239" s="13"/>
    </row>
    <row r="240" customFormat="false" ht="15.75" hidden="false" customHeight="true" outlineLevel="0" collapsed="false">
      <c r="D240" s="13"/>
    </row>
    <row r="241" customFormat="false" ht="15.75" hidden="false" customHeight="true" outlineLevel="0" collapsed="false">
      <c r="D241" s="13"/>
    </row>
    <row r="242" customFormat="false" ht="15.75" hidden="false" customHeight="true" outlineLevel="0" collapsed="false">
      <c r="D242" s="13"/>
    </row>
    <row r="243" customFormat="false" ht="15.75" hidden="false" customHeight="true" outlineLevel="0" collapsed="false">
      <c r="D243" s="13"/>
    </row>
    <row r="244" customFormat="false" ht="15.75" hidden="false" customHeight="true" outlineLevel="0" collapsed="false">
      <c r="D244" s="13"/>
    </row>
    <row r="245" customFormat="false" ht="15.75" hidden="false" customHeight="true" outlineLevel="0" collapsed="false">
      <c r="D245" s="13"/>
    </row>
    <row r="246" customFormat="false" ht="15.75" hidden="false" customHeight="true" outlineLevel="0" collapsed="false">
      <c r="D246" s="13"/>
    </row>
    <row r="247" customFormat="false" ht="15.75" hidden="false" customHeight="true" outlineLevel="0" collapsed="false">
      <c r="D247" s="13"/>
    </row>
    <row r="248" customFormat="false" ht="15.75" hidden="false" customHeight="true" outlineLevel="0" collapsed="false">
      <c r="D248" s="13"/>
    </row>
    <row r="249" customFormat="false" ht="15.75" hidden="false" customHeight="true" outlineLevel="0" collapsed="false">
      <c r="D249" s="13"/>
    </row>
    <row r="250" customFormat="false" ht="15.75" hidden="false" customHeight="true" outlineLevel="0" collapsed="false">
      <c r="D250" s="13"/>
    </row>
    <row r="251" customFormat="false" ht="15.75" hidden="false" customHeight="true" outlineLevel="0" collapsed="false">
      <c r="D251" s="13"/>
    </row>
    <row r="252" customFormat="false" ht="15.75" hidden="false" customHeight="true" outlineLevel="0" collapsed="false">
      <c r="D252" s="13"/>
    </row>
    <row r="253" customFormat="false" ht="15.75" hidden="false" customHeight="true" outlineLevel="0" collapsed="false">
      <c r="D253" s="13"/>
    </row>
    <row r="254" customFormat="false" ht="15.75" hidden="false" customHeight="true" outlineLevel="0" collapsed="false">
      <c r="D254" s="13"/>
    </row>
    <row r="255" customFormat="false" ht="15.75" hidden="false" customHeight="true" outlineLevel="0" collapsed="false">
      <c r="D255" s="13"/>
    </row>
    <row r="256" customFormat="false" ht="15.75" hidden="false" customHeight="true" outlineLevel="0" collapsed="false">
      <c r="D256" s="13"/>
    </row>
    <row r="257" customFormat="false" ht="15.75" hidden="false" customHeight="true" outlineLevel="0" collapsed="false">
      <c r="D257" s="13"/>
    </row>
    <row r="258" customFormat="false" ht="15.75" hidden="false" customHeight="true" outlineLevel="0" collapsed="false">
      <c r="D258" s="13"/>
    </row>
    <row r="259" customFormat="false" ht="15.75" hidden="false" customHeight="true" outlineLevel="0" collapsed="false">
      <c r="D259" s="13"/>
    </row>
    <row r="260" customFormat="false" ht="15.75" hidden="false" customHeight="true" outlineLevel="0" collapsed="false">
      <c r="D260" s="13"/>
    </row>
    <row r="261" customFormat="false" ht="15.75" hidden="false" customHeight="true" outlineLevel="0" collapsed="false">
      <c r="D261" s="13"/>
    </row>
    <row r="262" customFormat="false" ht="15.75" hidden="false" customHeight="true" outlineLevel="0" collapsed="false">
      <c r="D262" s="13"/>
    </row>
    <row r="263" customFormat="false" ht="15.75" hidden="false" customHeight="true" outlineLevel="0" collapsed="false">
      <c r="D263" s="13"/>
    </row>
    <row r="264" customFormat="false" ht="15.75" hidden="false" customHeight="true" outlineLevel="0" collapsed="false">
      <c r="D264" s="13"/>
    </row>
    <row r="265" customFormat="false" ht="15.75" hidden="false" customHeight="true" outlineLevel="0" collapsed="false">
      <c r="D265" s="13"/>
    </row>
    <row r="266" customFormat="false" ht="15.75" hidden="false" customHeight="true" outlineLevel="0" collapsed="false">
      <c r="D266" s="13"/>
    </row>
    <row r="267" customFormat="false" ht="15.75" hidden="false" customHeight="true" outlineLevel="0" collapsed="false">
      <c r="D267" s="13"/>
    </row>
    <row r="268" customFormat="false" ht="15.75" hidden="false" customHeight="true" outlineLevel="0" collapsed="false">
      <c r="D268" s="13"/>
    </row>
    <row r="269" customFormat="false" ht="15.75" hidden="false" customHeight="true" outlineLevel="0" collapsed="false">
      <c r="D269" s="13"/>
    </row>
    <row r="270" customFormat="false" ht="15.75" hidden="false" customHeight="true" outlineLevel="0" collapsed="false">
      <c r="D270" s="13"/>
    </row>
    <row r="271" customFormat="false" ht="15.75" hidden="false" customHeight="true" outlineLevel="0" collapsed="false">
      <c r="D271" s="13"/>
    </row>
    <row r="272" customFormat="false" ht="15.75" hidden="false" customHeight="true" outlineLevel="0" collapsed="false">
      <c r="D272" s="13"/>
    </row>
    <row r="273" customFormat="false" ht="15.75" hidden="false" customHeight="true" outlineLevel="0" collapsed="false">
      <c r="D273" s="13"/>
    </row>
    <row r="274" customFormat="false" ht="15.75" hidden="false" customHeight="true" outlineLevel="0" collapsed="false">
      <c r="D274" s="13"/>
    </row>
    <row r="275" customFormat="false" ht="15.75" hidden="false" customHeight="true" outlineLevel="0" collapsed="false">
      <c r="D275" s="13"/>
    </row>
    <row r="276" customFormat="false" ht="15.75" hidden="false" customHeight="true" outlineLevel="0" collapsed="false">
      <c r="D276" s="13"/>
    </row>
    <row r="277" customFormat="false" ht="15.75" hidden="false" customHeight="true" outlineLevel="0" collapsed="false">
      <c r="D277" s="13"/>
    </row>
    <row r="278" customFormat="false" ht="15.75" hidden="false" customHeight="true" outlineLevel="0" collapsed="false">
      <c r="D278" s="13"/>
    </row>
    <row r="279" customFormat="false" ht="15.75" hidden="false" customHeight="true" outlineLevel="0" collapsed="false">
      <c r="D279" s="13"/>
    </row>
    <row r="280" customFormat="false" ht="15.75" hidden="false" customHeight="true" outlineLevel="0" collapsed="false">
      <c r="D280" s="13"/>
    </row>
    <row r="281" customFormat="false" ht="15.75" hidden="false" customHeight="true" outlineLevel="0" collapsed="false">
      <c r="D281" s="13"/>
    </row>
    <row r="282" customFormat="false" ht="15.75" hidden="false" customHeight="true" outlineLevel="0" collapsed="false">
      <c r="D282" s="13"/>
    </row>
    <row r="283" customFormat="false" ht="15.75" hidden="false" customHeight="true" outlineLevel="0" collapsed="false">
      <c r="D283" s="13"/>
    </row>
    <row r="284" customFormat="false" ht="15.75" hidden="false" customHeight="true" outlineLevel="0" collapsed="false">
      <c r="D284" s="13"/>
    </row>
    <row r="285" customFormat="false" ht="15.75" hidden="false" customHeight="true" outlineLevel="0" collapsed="false">
      <c r="D285" s="13"/>
    </row>
    <row r="286" customFormat="false" ht="15.75" hidden="false" customHeight="true" outlineLevel="0" collapsed="false">
      <c r="D286" s="13"/>
    </row>
    <row r="287" customFormat="false" ht="15.75" hidden="false" customHeight="true" outlineLevel="0" collapsed="false">
      <c r="D287" s="13"/>
    </row>
    <row r="288" customFormat="false" ht="15.75" hidden="false" customHeight="true" outlineLevel="0" collapsed="false">
      <c r="D288" s="13"/>
    </row>
    <row r="289" customFormat="false" ht="15.75" hidden="false" customHeight="true" outlineLevel="0" collapsed="false">
      <c r="D289" s="13"/>
    </row>
    <row r="290" customFormat="false" ht="15.75" hidden="false" customHeight="true" outlineLevel="0" collapsed="false">
      <c r="D290" s="13"/>
    </row>
    <row r="291" customFormat="false" ht="15.75" hidden="false" customHeight="true" outlineLevel="0" collapsed="false">
      <c r="D291" s="13"/>
    </row>
    <row r="292" customFormat="false" ht="15.75" hidden="false" customHeight="true" outlineLevel="0" collapsed="false">
      <c r="D292" s="13"/>
    </row>
    <row r="293" customFormat="false" ht="15.75" hidden="false" customHeight="true" outlineLevel="0" collapsed="false">
      <c r="D293" s="13"/>
    </row>
    <row r="294" customFormat="false" ht="15.75" hidden="false" customHeight="true" outlineLevel="0" collapsed="false">
      <c r="D294" s="13"/>
    </row>
    <row r="295" customFormat="false" ht="15.75" hidden="false" customHeight="true" outlineLevel="0" collapsed="false">
      <c r="D295" s="13"/>
    </row>
    <row r="296" customFormat="false" ht="15.75" hidden="false" customHeight="true" outlineLevel="0" collapsed="false">
      <c r="D296" s="13"/>
    </row>
    <row r="297" customFormat="false" ht="15.75" hidden="false" customHeight="true" outlineLevel="0" collapsed="false">
      <c r="D297" s="13"/>
    </row>
    <row r="298" customFormat="false" ht="15.75" hidden="false" customHeight="true" outlineLevel="0" collapsed="false">
      <c r="D298" s="13"/>
    </row>
    <row r="299" customFormat="false" ht="15.75" hidden="false" customHeight="true" outlineLevel="0" collapsed="false">
      <c r="D299" s="13"/>
    </row>
    <row r="300" customFormat="false" ht="15.75" hidden="false" customHeight="true" outlineLevel="0" collapsed="false">
      <c r="D300" s="13"/>
    </row>
    <row r="301" customFormat="false" ht="15.75" hidden="false" customHeight="true" outlineLevel="0" collapsed="false">
      <c r="D301" s="13"/>
    </row>
    <row r="302" customFormat="false" ht="15.75" hidden="false" customHeight="true" outlineLevel="0" collapsed="false">
      <c r="D302" s="13"/>
    </row>
    <row r="303" customFormat="false" ht="15.75" hidden="false" customHeight="true" outlineLevel="0" collapsed="false">
      <c r="D303" s="13"/>
    </row>
    <row r="304" customFormat="false" ht="15.75" hidden="false" customHeight="true" outlineLevel="0" collapsed="false">
      <c r="D304" s="13"/>
    </row>
    <row r="305" customFormat="false" ht="15.75" hidden="false" customHeight="true" outlineLevel="0" collapsed="false">
      <c r="D305" s="13"/>
    </row>
    <row r="306" customFormat="false" ht="15.75" hidden="false" customHeight="true" outlineLevel="0" collapsed="false">
      <c r="D306" s="13"/>
    </row>
    <row r="307" customFormat="false" ht="15.75" hidden="false" customHeight="true" outlineLevel="0" collapsed="false">
      <c r="D307" s="13"/>
    </row>
    <row r="308" customFormat="false" ht="15.75" hidden="false" customHeight="true" outlineLevel="0" collapsed="false">
      <c r="D308" s="13"/>
    </row>
    <row r="309" customFormat="false" ht="15.75" hidden="false" customHeight="true" outlineLevel="0" collapsed="false">
      <c r="D309" s="13"/>
    </row>
    <row r="310" customFormat="false" ht="15.75" hidden="false" customHeight="true" outlineLevel="0" collapsed="false">
      <c r="D310" s="13"/>
    </row>
    <row r="311" customFormat="false" ht="15.75" hidden="false" customHeight="true" outlineLevel="0" collapsed="false">
      <c r="D311" s="13"/>
    </row>
    <row r="312" customFormat="false" ht="15.75" hidden="false" customHeight="true" outlineLevel="0" collapsed="false">
      <c r="D312" s="13"/>
    </row>
    <row r="313" customFormat="false" ht="15.75" hidden="false" customHeight="true" outlineLevel="0" collapsed="false">
      <c r="D313" s="13"/>
    </row>
    <row r="314" customFormat="false" ht="15.75" hidden="false" customHeight="true" outlineLevel="0" collapsed="false">
      <c r="D314" s="13"/>
    </row>
    <row r="315" customFormat="false" ht="15.75" hidden="false" customHeight="true" outlineLevel="0" collapsed="false">
      <c r="D315" s="13"/>
    </row>
    <row r="316" customFormat="false" ht="15.75" hidden="false" customHeight="true" outlineLevel="0" collapsed="false">
      <c r="D316" s="13"/>
    </row>
    <row r="317" customFormat="false" ht="15.75" hidden="false" customHeight="true" outlineLevel="0" collapsed="false">
      <c r="D317" s="13"/>
    </row>
    <row r="318" customFormat="false" ht="15.75" hidden="false" customHeight="true" outlineLevel="0" collapsed="false">
      <c r="D318" s="13"/>
    </row>
    <row r="319" customFormat="false" ht="15.75" hidden="false" customHeight="true" outlineLevel="0" collapsed="false">
      <c r="D319" s="13"/>
    </row>
    <row r="320" customFormat="false" ht="15.75" hidden="false" customHeight="true" outlineLevel="0" collapsed="false">
      <c r="D320" s="13"/>
    </row>
    <row r="321" customFormat="false" ht="15.75" hidden="false" customHeight="true" outlineLevel="0" collapsed="false">
      <c r="D321" s="13"/>
    </row>
    <row r="322" customFormat="false" ht="15.75" hidden="false" customHeight="true" outlineLevel="0" collapsed="false">
      <c r="D322" s="13"/>
    </row>
    <row r="323" customFormat="false" ht="15.75" hidden="false" customHeight="true" outlineLevel="0" collapsed="false">
      <c r="D323" s="13"/>
    </row>
    <row r="324" customFormat="false" ht="15.75" hidden="false" customHeight="true" outlineLevel="0" collapsed="false">
      <c r="D324" s="13"/>
    </row>
    <row r="325" customFormat="false" ht="15.75" hidden="false" customHeight="true" outlineLevel="0" collapsed="false">
      <c r="D325" s="13"/>
    </row>
    <row r="326" customFormat="false" ht="15.75" hidden="false" customHeight="true" outlineLevel="0" collapsed="false">
      <c r="D326" s="13"/>
    </row>
    <row r="327" customFormat="false" ht="15.75" hidden="false" customHeight="true" outlineLevel="0" collapsed="false">
      <c r="D327" s="13"/>
    </row>
    <row r="328" customFormat="false" ht="15.75" hidden="false" customHeight="true" outlineLevel="0" collapsed="false">
      <c r="D328" s="13"/>
    </row>
    <row r="329" customFormat="false" ht="15.75" hidden="false" customHeight="true" outlineLevel="0" collapsed="false">
      <c r="D329" s="13"/>
    </row>
    <row r="330" customFormat="false" ht="15.75" hidden="false" customHeight="true" outlineLevel="0" collapsed="false">
      <c r="D330" s="13"/>
    </row>
    <row r="331" customFormat="false" ht="15.75" hidden="false" customHeight="true" outlineLevel="0" collapsed="false">
      <c r="D331" s="13"/>
    </row>
    <row r="332" customFormat="false" ht="15.75" hidden="false" customHeight="true" outlineLevel="0" collapsed="false">
      <c r="D332" s="13"/>
    </row>
    <row r="333" customFormat="false" ht="15.75" hidden="false" customHeight="true" outlineLevel="0" collapsed="false">
      <c r="D333" s="13"/>
    </row>
    <row r="334" customFormat="false" ht="15.75" hidden="false" customHeight="true" outlineLevel="0" collapsed="false">
      <c r="D334" s="13"/>
    </row>
    <row r="335" customFormat="false" ht="15.75" hidden="false" customHeight="true" outlineLevel="0" collapsed="false">
      <c r="D335" s="13"/>
    </row>
    <row r="336" customFormat="false" ht="15.75" hidden="false" customHeight="true" outlineLevel="0" collapsed="false">
      <c r="D336" s="13"/>
    </row>
    <row r="337" customFormat="false" ht="15.75" hidden="false" customHeight="true" outlineLevel="0" collapsed="false">
      <c r="D337" s="13"/>
    </row>
    <row r="338" customFormat="false" ht="15.75" hidden="false" customHeight="true" outlineLevel="0" collapsed="false">
      <c r="D338" s="13"/>
    </row>
    <row r="339" customFormat="false" ht="15.75" hidden="false" customHeight="true" outlineLevel="0" collapsed="false">
      <c r="D339" s="13"/>
    </row>
    <row r="340" customFormat="false" ht="15.75" hidden="false" customHeight="true" outlineLevel="0" collapsed="false">
      <c r="D340" s="13"/>
    </row>
    <row r="341" customFormat="false" ht="15.75" hidden="false" customHeight="true" outlineLevel="0" collapsed="false">
      <c r="D341" s="13"/>
    </row>
    <row r="342" customFormat="false" ht="15.75" hidden="false" customHeight="true" outlineLevel="0" collapsed="false">
      <c r="D342" s="13"/>
    </row>
    <row r="343" customFormat="false" ht="15.75" hidden="false" customHeight="true" outlineLevel="0" collapsed="false">
      <c r="D343" s="13"/>
    </row>
    <row r="344" customFormat="false" ht="15.75" hidden="false" customHeight="true" outlineLevel="0" collapsed="false">
      <c r="D344" s="13"/>
    </row>
    <row r="345" customFormat="false" ht="15.75" hidden="false" customHeight="true" outlineLevel="0" collapsed="false">
      <c r="D345" s="13"/>
    </row>
    <row r="346" customFormat="false" ht="15.75" hidden="false" customHeight="true" outlineLevel="0" collapsed="false">
      <c r="D346" s="13"/>
    </row>
    <row r="347" customFormat="false" ht="15.75" hidden="false" customHeight="true" outlineLevel="0" collapsed="false">
      <c r="D347" s="13"/>
    </row>
    <row r="348" customFormat="false" ht="15.75" hidden="false" customHeight="true" outlineLevel="0" collapsed="false">
      <c r="D348" s="13"/>
    </row>
    <row r="349" customFormat="false" ht="15.75" hidden="false" customHeight="true" outlineLevel="0" collapsed="false">
      <c r="D349" s="13"/>
    </row>
    <row r="350" customFormat="false" ht="15.75" hidden="false" customHeight="true" outlineLevel="0" collapsed="false">
      <c r="D350" s="13"/>
    </row>
    <row r="351" customFormat="false" ht="15.75" hidden="false" customHeight="true" outlineLevel="0" collapsed="false">
      <c r="D351" s="13"/>
    </row>
    <row r="352" customFormat="false" ht="15.75" hidden="false" customHeight="true" outlineLevel="0" collapsed="false">
      <c r="D352" s="13"/>
    </row>
    <row r="353" customFormat="false" ht="15.75" hidden="false" customHeight="true" outlineLevel="0" collapsed="false">
      <c r="D353" s="13"/>
    </row>
    <row r="354" customFormat="false" ht="15.75" hidden="false" customHeight="true" outlineLevel="0" collapsed="false">
      <c r="D354" s="13"/>
    </row>
    <row r="355" customFormat="false" ht="15.75" hidden="false" customHeight="true" outlineLevel="0" collapsed="false">
      <c r="D355" s="13"/>
    </row>
    <row r="356" customFormat="false" ht="15.75" hidden="false" customHeight="true" outlineLevel="0" collapsed="false">
      <c r="D356" s="13"/>
    </row>
    <row r="357" customFormat="false" ht="15.75" hidden="false" customHeight="true" outlineLevel="0" collapsed="false">
      <c r="D357" s="13"/>
    </row>
    <row r="358" customFormat="false" ht="15.75" hidden="false" customHeight="true" outlineLevel="0" collapsed="false">
      <c r="D358" s="13"/>
    </row>
    <row r="359" customFormat="false" ht="15.75" hidden="false" customHeight="true" outlineLevel="0" collapsed="false">
      <c r="D359" s="13"/>
    </row>
    <row r="360" customFormat="false" ht="15.75" hidden="false" customHeight="true" outlineLevel="0" collapsed="false">
      <c r="D360" s="13"/>
    </row>
    <row r="361" customFormat="false" ht="15.75" hidden="false" customHeight="true" outlineLevel="0" collapsed="false">
      <c r="D361" s="13"/>
    </row>
    <row r="362" customFormat="false" ht="15.75" hidden="false" customHeight="true" outlineLevel="0" collapsed="false">
      <c r="D362" s="13"/>
    </row>
    <row r="363" customFormat="false" ht="15.75" hidden="false" customHeight="true" outlineLevel="0" collapsed="false">
      <c r="D363" s="13"/>
    </row>
    <row r="364" customFormat="false" ht="15.75" hidden="false" customHeight="true" outlineLevel="0" collapsed="false">
      <c r="D364" s="13"/>
    </row>
    <row r="365" customFormat="false" ht="15.75" hidden="false" customHeight="true" outlineLevel="0" collapsed="false">
      <c r="D365" s="13"/>
    </row>
    <row r="366" customFormat="false" ht="15.75" hidden="false" customHeight="true" outlineLevel="0" collapsed="false">
      <c r="D366" s="13"/>
    </row>
    <row r="367" customFormat="false" ht="15.75" hidden="false" customHeight="true" outlineLevel="0" collapsed="false">
      <c r="D367" s="13"/>
    </row>
    <row r="368" customFormat="false" ht="15.75" hidden="false" customHeight="true" outlineLevel="0" collapsed="false">
      <c r="D368" s="13"/>
    </row>
    <row r="369" customFormat="false" ht="15.75" hidden="false" customHeight="true" outlineLevel="0" collapsed="false">
      <c r="D369" s="13"/>
    </row>
    <row r="370" customFormat="false" ht="15.75" hidden="false" customHeight="true" outlineLevel="0" collapsed="false">
      <c r="D370" s="13"/>
    </row>
    <row r="371" customFormat="false" ht="15.75" hidden="false" customHeight="true" outlineLevel="0" collapsed="false">
      <c r="D371" s="13"/>
    </row>
    <row r="372" customFormat="false" ht="15.75" hidden="false" customHeight="true" outlineLevel="0" collapsed="false">
      <c r="D372" s="13"/>
    </row>
    <row r="373" customFormat="false" ht="15.75" hidden="false" customHeight="true" outlineLevel="0" collapsed="false">
      <c r="D373" s="13"/>
    </row>
    <row r="374" customFormat="false" ht="15.75" hidden="false" customHeight="true" outlineLevel="0" collapsed="false">
      <c r="D374" s="13"/>
    </row>
    <row r="375" customFormat="false" ht="15.75" hidden="false" customHeight="true" outlineLevel="0" collapsed="false">
      <c r="D375" s="13"/>
    </row>
    <row r="376" customFormat="false" ht="15.75" hidden="false" customHeight="true" outlineLevel="0" collapsed="false">
      <c r="D376" s="13"/>
    </row>
    <row r="377" customFormat="false" ht="15.75" hidden="false" customHeight="true" outlineLevel="0" collapsed="false">
      <c r="D377" s="13"/>
    </row>
    <row r="378" customFormat="false" ht="15.75" hidden="false" customHeight="true" outlineLevel="0" collapsed="false">
      <c r="D378" s="13"/>
    </row>
    <row r="379" customFormat="false" ht="15.75" hidden="false" customHeight="true" outlineLevel="0" collapsed="false">
      <c r="D379" s="13"/>
    </row>
    <row r="380" customFormat="false" ht="15.75" hidden="false" customHeight="true" outlineLevel="0" collapsed="false">
      <c r="D380" s="13"/>
    </row>
    <row r="381" customFormat="false" ht="15.75" hidden="false" customHeight="true" outlineLevel="0" collapsed="false">
      <c r="D381" s="13"/>
    </row>
    <row r="382" customFormat="false" ht="15.75" hidden="false" customHeight="true" outlineLevel="0" collapsed="false">
      <c r="D382" s="13"/>
    </row>
    <row r="383" customFormat="false" ht="15.75" hidden="false" customHeight="true" outlineLevel="0" collapsed="false">
      <c r="D383" s="13"/>
    </row>
    <row r="384" customFormat="false" ht="15.75" hidden="false" customHeight="true" outlineLevel="0" collapsed="false">
      <c r="D384" s="13"/>
    </row>
    <row r="385" customFormat="false" ht="15.75" hidden="false" customHeight="true" outlineLevel="0" collapsed="false">
      <c r="D385" s="13"/>
    </row>
    <row r="386" customFormat="false" ht="15.75" hidden="false" customHeight="true" outlineLevel="0" collapsed="false">
      <c r="D386" s="13"/>
    </row>
    <row r="387" customFormat="false" ht="15.75" hidden="false" customHeight="true" outlineLevel="0" collapsed="false">
      <c r="D387" s="13"/>
    </row>
    <row r="388" customFormat="false" ht="15.75" hidden="false" customHeight="true" outlineLevel="0" collapsed="false">
      <c r="D388" s="13"/>
    </row>
    <row r="389" customFormat="false" ht="15.75" hidden="false" customHeight="true" outlineLevel="0" collapsed="false">
      <c r="D389" s="13"/>
    </row>
    <row r="390" customFormat="false" ht="15.75" hidden="false" customHeight="true" outlineLevel="0" collapsed="false">
      <c r="D390" s="13"/>
    </row>
    <row r="391" customFormat="false" ht="15.75" hidden="false" customHeight="true" outlineLevel="0" collapsed="false">
      <c r="D391" s="13"/>
    </row>
    <row r="392" customFormat="false" ht="15.75" hidden="false" customHeight="true" outlineLevel="0" collapsed="false">
      <c r="D392" s="13"/>
    </row>
    <row r="393" customFormat="false" ht="15.75" hidden="false" customHeight="true" outlineLevel="0" collapsed="false">
      <c r="D393" s="13"/>
    </row>
    <row r="394" customFormat="false" ht="15.75" hidden="false" customHeight="true" outlineLevel="0" collapsed="false">
      <c r="D394" s="13"/>
    </row>
    <row r="395" customFormat="false" ht="15.75" hidden="false" customHeight="true" outlineLevel="0" collapsed="false">
      <c r="D395" s="13"/>
    </row>
    <row r="396" customFormat="false" ht="15.75" hidden="false" customHeight="true" outlineLevel="0" collapsed="false">
      <c r="D396" s="13"/>
    </row>
    <row r="397" customFormat="false" ht="15.75" hidden="false" customHeight="true" outlineLevel="0" collapsed="false">
      <c r="D397" s="13"/>
    </row>
    <row r="398" customFormat="false" ht="15.75" hidden="false" customHeight="true" outlineLevel="0" collapsed="false">
      <c r="D398" s="13"/>
    </row>
    <row r="399" customFormat="false" ht="15.75" hidden="false" customHeight="true" outlineLevel="0" collapsed="false">
      <c r="D399" s="13"/>
    </row>
    <row r="400" customFormat="false" ht="15.75" hidden="false" customHeight="true" outlineLevel="0" collapsed="false">
      <c r="D400" s="13"/>
    </row>
    <row r="401" customFormat="false" ht="15.75" hidden="false" customHeight="true" outlineLevel="0" collapsed="false">
      <c r="D401" s="13"/>
    </row>
    <row r="402" customFormat="false" ht="15.75" hidden="false" customHeight="true" outlineLevel="0" collapsed="false">
      <c r="D402" s="13"/>
    </row>
    <row r="403" customFormat="false" ht="15.75" hidden="false" customHeight="true" outlineLevel="0" collapsed="false">
      <c r="D403" s="13"/>
    </row>
    <row r="404" customFormat="false" ht="15.75" hidden="false" customHeight="true" outlineLevel="0" collapsed="false">
      <c r="D404" s="13"/>
    </row>
    <row r="405" customFormat="false" ht="15.75" hidden="false" customHeight="true" outlineLevel="0" collapsed="false">
      <c r="D405" s="13"/>
    </row>
    <row r="406" customFormat="false" ht="15.75" hidden="false" customHeight="true" outlineLevel="0" collapsed="false">
      <c r="D406" s="13"/>
    </row>
    <row r="407" customFormat="false" ht="15.75" hidden="false" customHeight="true" outlineLevel="0" collapsed="false">
      <c r="D407" s="13"/>
    </row>
    <row r="408" customFormat="false" ht="15.75" hidden="false" customHeight="true" outlineLevel="0" collapsed="false">
      <c r="D408" s="13"/>
    </row>
    <row r="409" customFormat="false" ht="15.75" hidden="false" customHeight="true" outlineLevel="0" collapsed="false">
      <c r="D409" s="13"/>
    </row>
    <row r="410" customFormat="false" ht="15.75" hidden="false" customHeight="true" outlineLevel="0" collapsed="false">
      <c r="D410" s="13"/>
    </row>
    <row r="411" customFormat="false" ht="15.75" hidden="false" customHeight="true" outlineLevel="0" collapsed="false">
      <c r="D411" s="13"/>
    </row>
    <row r="412" customFormat="false" ht="15.75" hidden="false" customHeight="true" outlineLevel="0" collapsed="false">
      <c r="D412" s="13"/>
    </row>
    <row r="413" customFormat="false" ht="15.75" hidden="false" customHeight="true" outlineLevel="0" collapsed="false">
      <c r="D413" s="13"/>
    </row>
    <row r="414" customFormat="false" ht="15.75" hidden="false" customHeight="true" outlineLevel="0" collapsed="false">
      <c r="D414" s="13"/>
    </row>
    <row r="415" customFormat="false" ht="15.75" hidden="false" customHeight="true" outlineLevel="0" collapsed="false">
      <c r="D415" s="13"/>
    </row>
    <row r="416" customFormat="false" ht="15.75" hidden="false" customHeight="true" outlineLevel="0" collapsed="false">
      <c r="D416" s="13"/>
    </row>
    <row r="417" customFormat="false" ht="15.75" hidden="false" customHeight="true" outlineLevel="0" collapsed="false">
      <c r="D417" s="13"/>
    </row>
    <row r="418" customFormat="false" ht="15.75" hidden="false" customHeight="true" outlineLevel="0" collapsed="false">
      <c r="D418" s="13"/>
    </row>
    <row r="419" customFormat="false" ht="15.75" hidden="false" customHeight="true" outlineLevel="0" collapsed="false">
      <c r="D419" s="13"/>
    </row>
    <row r="420" customFormat="false" ht="15.75" hidden="false" customHeight="true" outlineLevel="0" collapsed="false">
      <c r="D420" s="13"/>
    </row>
    <row r="421" customFormat="false" ht="15.75" hidden="false" customHeight="true" outlineLevel="0" collapsed="false">
      <c r="D421" s="13"/>
    </row>
    <row r="422" customFormat="false" ht="15.75" hidden="false" customHeight="true" outlineLevel="0" collapsed="false">
      <c r="D422" s="13"/>
    </row>
    <row r="423" customFormat="false" ht="15.75" hidden="false" customHeight="true" outlineLevel="0" collapsed="false">
      <c r="D423" s="13"/>
    </row>
    <row r="424" customFormat="false" ht="15.75" hidden="false" customHeight="true" outlineLevel="0" collapsed="false">
      <c r="D424" s="13"/>
    </row>
    <row r="425" customFormat="false" ht="15.75" hidden="false" customHeight="true" outlineLevel="0" collapsed="false">
      <c r="D425" s="13"/>
    </row>
    <row r="426" customFormat="false" ht="15.75" hidden="false" customHeight="true" outlineLevel="0" collapsed="false">
      <c r="D426" s="13"/>
    </row>
    <row r="427" customFormat="false" ht="15.75" hidden="false" customHeight="true" outlineLevel="0" collapsed="false">
      <c r="D427" s="13"/>
    </row>
    <row r="428" customFormat="false" ht="15.75" hidden="false" customHeight="true" outlineLevel="0" collapsed="false">
      <c r="D428" s="13"/>
    </row>
    <row r="429" customFormat="false" ht="15.75" hidden="false" customHeight="true" outlineLevel="0" collapsed="false">
      <c r="D429" s="13"/>
    </row>
    <row r="430" customFormat="false" ht="15.75" hidden="false" customHeight="true" outlineLevel="0" collapsed="false">
      <c r="D430" s="13"/>
    </row>
    <row r="431" customFormat="false" ht="15.75" hidden="false" customHeight="true" outlineLevel="0" collapsed="false">
      <c r="D431" s="13"/>
    </row>
    <row r="432" customFormat="false" ht="15.75" hidden="false" customHeight="true" outlineLevel="0" collapsed="false">
      <c r="D432" s="13"/>
    </row>
    <row r="433" customFormat="false" ht="15.75" hidden="false" customHeight="true" outlineLevel="0" collapsed="false">
      <c r="D433" s="13"/>
    </row>
    <row r="434" customFormat="false" ht="15.75" hidden="false" customHeight="true" outlineLevel="0" collapsed="false">
      <c r="D434" s="13"/>
    </row>
    <row r="435" customFormat="false" ht="15.75" hidden="false" customHeight="true" outlineLevel="0" collapsed="false">
      <c r="D435" s="13"/>
    </row>
    <row r="436" customFormat="false" ht="15.75" hidden="false" customHeight="true" outlineLevel="0" collapsed="false">
      <c r="D436" s="13"/>
    </row>
    <row r="437" customFormat="false" ht="15.75" hidden="false" customHeight="true" outlineLevel="0" collapsed="false">
      <c r="D437" s="13"/>
    </row>
    <row r="438" customFormat="false" ht="15.75" hidden="false" customHeight="true" outlineLevel="0" collapsed="false">
      <c r="D438" s="13"/>
    </row>
    <row r="439" customFormat="false" ht="15.75" hidden="false" customHeight="true" outlineLevel="0" collapsed="false">
      <c r="D439" s="13"/>
    </row>
    <row r="440" customFormat="false" ht="15.75" hidden="false" customHeight="true" outlineLevel="0" collapsed="false">
      <c r="D440" s="13"/>
    </row>
    <row r="441" customFormat="false" ht="15.75" hidden="false" customHeight="true" outlineLevel="0" collapsed="false">
      <c r="D441" s="13"/>
    </row>
    <row r="442" customFormat="false" ht="15.75" hidden="false" customHeight="true" outlineLevel="0" collapsed="false">
      <c r="D442" s="13"/>
    </row>
    <row r="443" customFormat="false" ht="15.75" hidden="false" customHeight="true" outlineLevel="0" collapsed="false">
      <c r="D443" s="13"/>
    </row>
    <row r="444" customFormat="false" ht="15.75" hidden="false" customHeight="true" outlineLevel="0" collapsed="false">
      <c r="D444" s="13"/>
    </row>
    <row r="445" customFormat="false" ht="15.75" hidden="false" customHeight="true" outlineLevel="0" collapsed="false">
      <c r="D445" s="13"/>
    </row>
    <row r="446" customFormat="false" ht="15.75" hidden="false" customHeight="true" outlineLevel="0" collapsed="false">
      <c r="D446" s="13"/>
    </row>
    <row r="447" customFormat="false" ht="15.75" hidden="false" customHeight="true" outlineLevel="0" collapsed="false">
      <c r="D447" s="13"/>
    </row>
    <row r="448" customFormat="false" ht="15.75" hidden="false" customHeight="true" outlineLevel="0" collapsed="false">
      <c r="D448" s="13"/>
    </row>
    <row r="449" customFormat="false" ht="15.75" hidden="false" customHeight="true" outlineLevel="0" collapsed="false">
      <c r="D449" s="13"/>
    </row>
    <row r="450" customFormat="false" ht="15.75" hidden="false" customHeight="true" outlineLevel="0" collapsed="false">
      <c r="D450" s="13"/>
    </row>
    <row r="451" customFormat="false" ht="15.75" hidden="false" customHeight="true" outlineLevel="0" collapsed="false">
      <c r="D451" s="13"/>
    </row>
    <row r="452" customFormat="false" ht="15.75" hidden="false" customHeight="true" outlineLevel="0" collapsed="false">
      <c r="D452" s="13"/>
    </row>
    <row r="453" customFormat="false" ht="15.75" hidden="false" customHeight="true" outlineLevel="0" collapsed="false">
      <c r="D453" s="13"/>
    </row>
    <row r="454" customFormat="false" ht="15.75" hidden="false" customHeight="true" outlineLevel="0" collapsed="false">
      <c r="D454" s="13"/>
    </row>
    <row r="455" customFormat="false" ht="15.75" hidden="false" customHeight="true" outlineLevel="0" collapsed="false">
      <c r="D455" s="13"/>
    </row>
    <row r="456" customFormat="false" ht="15.75" hidden="false" customHeight="true" outlineLevel="0" collapsed="false">
      <c r="D456" s="13"/>
    </row>
    <row r="457" customFormat="false" ht="15.75" hidden="false" customHeight="true" outlineLevel="0" collapsed="false">
      <c r="D457" s="13"/>
    </row>
    <row r="458" customFormat="false" ht="15.75" hidden="false" customHeight="true" outlineLevel="0" collapsed="false">
      <c r="D458" s="13"/>
    </row>
    <row r="459" customFormat="false" ht="15.75" hidden="false" customHeight="true" outlineLevel="0" collapsed="false">
      <c r="D459" s="13"/>
    </row>
    <row r="460" customFormat="false" ht="15.75" hidden="false" customHeight="true" outlineLevel="0" collapsed="false">
      <c r="D460" s="13"/>
    </row>
    <row r="461" customFormat="false" ht="15.75" hidden="false" customHeight="true" outlineLevel="0" collapsed="false">
      <c r="D461" s="13"/>
    </row>
    <row r="462" customFormat="false" ht="15.75" hidden="false" customHeight="true" outlineLevel="0" collapsed="false">
      <c r="D462" s="13"/>
    </row>
    <row r="463" customFormat="false" ht="15.75" hidden="false" customHeight="true" outlineLevel="0" collapsed="false">
      <c r="D463" s="13"/>
    </row>
    <row r="464" customFormat="false" ht="15.75" hidden="false" customHeight="true" outlineLevel="0" collapsed="false">
      <c r="D464" s="13"/>
    </row>
    <row r="465" customFormat="false" ht="15.75" hidden="false" customHeight="true" outlineLevel="0" collapsed="false">
      <c r="D465" s="13"/>
    </row>
    <row r="466" customFormat="false" ht="15.75" hidden="false" customHeight="true" outlineLevel="0" collapsed="false">
      <c r="D466" s="13"/>
    </row>
    <row r="467" customFormat="false" ht="15.75" hidden="false" customHeight="true" outlineLevel="0" collapsed="false">
      <c r="D467" s="13"/>
    </row>
    <row r="468" customFormat="false" ht="15.75" hidden="false" customHeight="true" outlineLevel="0" collapsed="false">
      <c r="D468" s="13"/>
    </row>
    <row r="469" customFormat="false" ht="15.75" hidden="false" customHeight="true" outlineLevel="0" collapsed="false">
      <c r="D469" s="13"/>
    </row>
    <row r="470" customFormat="false" ht="15.75" hidden="false" customHeight="true" outlineLevel="0" collapsed="false">
      <c r="D470" s="13"/>
    </row>
    <row r="471" customFormat="false" ht="15.75" hidden="false" customHeight="true" outlineLevel="0" collapsed="false">
      <c r="D471" s="13"/>
    </row>
    <row r="472" customFormat="false" ht="15.75" hidden="false" customHeight="true" outlineLevel="0" collapsed="false">
      <c r="D472" s="13"/>
    </row>
    <row r="473" customFormat="false" ht="15.75" hidden="false" customHeight="true" outlineLevel="0" collapsed="false">
      <c r="D473" s="13"/>
    </row>
    <row r="474" customFormat="false" ht="15.75" hidden="false" customHeight="true" outlineLevel="0" collapsed="false">
      <c r="D474" s="13"/>
    </row>
    <row r="475" customFormat="false" ht="15.75" hidden="false" customHeight="true" outlineLevel="0" collapsed="false">
      <c r="D475" s="13"/>
    </row>
    <row r="476" customFormat="false" ht="15.75" hidden="false" customHeight="true" outlineLevel="0" collapsed="false">
      <c r="D476" s="13"/>
    </row>
    <row r="477" customFormat="false" ht="15.75" hidden="false" customHeight="true" outlineLevel="0" collapsed="false">
      <c r="D477" s="13"/>
    </row>
    <row r="478" customFormat="false" ht="15.75" hidden="false" customHeight="true" outlineLevel="0" collapsed="false">
      <c r="D478" s="13"/>
    </row>
    <row r="479" customFormat="false" ht="15.75" hidden="false" customHeight="true" outlineLevel="0" collapsed="false">
      <c r="D479" s="13"/>
    </row>
    <row r="480" customFormat="false" ht="15.75" hidden="false" customHeight="true" outlineLevel="0" collapsed="false">
      <c r="D480" s="13"/>
    </row>
    <row r="481" customFormat="false" ht="15.75" hidden="false" customHeight="true" outlineLevel="0" collapsed="false">
      <c r="D481" s="13"/>
    </row>
    <row r="482" customFormat="false" ht="15.75" hidden="false" customHeight="true" outlineLevel="0" collapsed="false">
      <c r="D482" s="13"/>
    </row>
    <row r="483" customFormat="false" ht="15.75" hidden="false" customHeight="true" outlineLevel="0" collapsed="false">
      <c r="D483" s="13"/>
    </row>
    <row r="484" customFormat="false" ht="15.75" hidden="false" customHeight="true" outlineLevel="0" collapsed="false">
      <c r="D484" s="13"/>
    </row>
    <row r="485" customFormat="false" ht="15.75" hidden="false" customHeight="true" outlineLevel="0" collapsed="false">
      <c r="D485" s="13"/>
    </row>
    <row r="486" customFormat="false" ht="15.75" hidden="false" customHeight="true" outlineLevel="0" collapsed="false">
      <c r="D486" s="13"/>
    </row>
    <row r="487" customFormat="false" ht="15.75" hidden="false" customHeight="true" outlineLevel="0" collapsed="false">
      <c r="D487" s="13"/>
    </row>
    <row r="488" customFormat="false" ht="15.75" hidden="false" customHeight="true" outlineLevel="0" collapsed="false">
      <c r="D488" s="13"/>
    </row>
    <row r="489" customFormat="false" ht="15.75" hidden="false" customHeight="true" outlineLevel="0" collapsed="false">
      <c r="D489" s="13"/>
    </row>
    <row r="490" customFormat="false" ht="15.75" hidden="false" customHeight="true" outlineLevel="0" collapsed="false">
      <c r="D490" s="13"/>
    </row>
    <row r="491" customFormat="false" ht="15.75" hidden="false" customHeight="true" outlineLevel="0" collapsed="false">
      <c r="D491" s="13"/>
    </row>
    <row r="492" customFormat="false" ht="15.75" hidden="false" customHeight="true" outlineLevel="0" collapsed="false">
      <c r="D492" s="13"/>
    </row>
    <row r="493" customFormat="false" ht="15.75" hidden="false" customHeight="true" outlineLevel="0" collapsed="false">
      <c r="D493" s="13"/>
    </row>
    <row r="494" customFormat="false" ht="15.75" hidden="false" customHeight="true" outlineLevel="0" collapsed="false">
      <c r="D494" s="13"/>
    </row>
    <row r="495" customFormat="false" ht="15.75" hidden="false" customHeight="true" outlineLevel="0" collapsed="false">
      <c r="D495" s="13"/>
    </row>
    <row r="496" customFormat="false" ht="15.75" hidden="false" customHeight="true" outlineLevel="0" collapsed="false">
      <c r="D496" s="13"/>
    </row>
    <row r="497" customFormat="false" ht="15.75" hidden="false" customHeight="true" outlineLevel="0" collapsed="false">
      <c r="D497" s="13"/>
    </row>
    <row r="498" customFormat="false" ht="15.75" hidden="false" customHeight="true" outlineLevel="0" collapsed="false">
      <c r="D498" s="13"/>
    </row>
    <row r="499" customFormat="false" ht="15.75" hidden="false" customHeight="true" outlineLevel="0" collapsed="false">
      <c r="D499" s="13"/>
    </row>
    <row r="500" customFormat="false" ht="15.75" hidden="false" customHeight="true" outlineLevel="0" collapsed="false">
      <c r="D500" s="13"/>
    </row>
    <row r="501" customFormat="false" ht="15.75" hidden="false" customHeight="true" outlineLevel="0" collapsed="false">
      <c r="D501" s="13"/>
    </row>
    <row r="502" customFormat="false" ht="15.75" hidden="false" customHeight="true" outlineLevel="0" collapsed="false">
      <c r="D502" s="13"/>
    </row>
    <row r="503" customFormat="false" ht="15.75" hidden="false" customHeight="true" outlineLevel="0" collapsed="false">
      <c r="D503" s="13"/>
    </row>
    <row r="504" customFormat="false" ht="15.75" hidden="false" customHeight="true" outlineLevel="0" collapsed="false">
      <c r="D504" s="13"/>
    </row>
    <row r="505" customFormat="false" ht="15.75" hidden="false" customHeight="true" outlineLevel="0" collapsed="false">
      <c r="D505" s="13"/>
    </row>
    <row r="506" customFormat="false" ht="15.75" hidden="false" customHeight="true" outlineLevel="0" collapsed="false">
      <c r="D506" s="13"/>
    </row>
    <row r="507" customFormat="false" ht="15.75" hidden="false" customHeight="true" outlineLevel="0" collapsed="false">
      <c r="D507" s="13"/>
    </row>
    <row r="508" customFormat="false" ht="15.75" hidden="false" customHeight="true" outlineLevel="0" collapsed="false">
      <c r="D508" s="13"/>
    </row>
    <row r="509" customFormat="false" ht="15.75" hidden="false" customHeight="true" outlineLevel="0" collapsed="false">
      <c r="D509" s="13"/>
    </row>
    <row r="510" customFormat="false" ht="15.75" hidden="false" customHeight="true" outlineLevel="0" collapsed="false">
      <c r="D510" s="13"/>
    </row>
    <row r="511" customFormat="false" ht="15.75" hidden="false" customHeight="true" outlineLevel="0" collapsed="false">
      <c r="D511" s="13"/>
    </row>
    <row r="512" customFormat="false" ht="15.75" hidden="false" customHeight="true" outlineLevel="0" collapsed="false">
      <c r="D512" s="13"/>
    </row>
    <row r="513" customFormat="false" ht="15.75" hidden="false" customHeight="true" outlineLevel="0" collapsed="false">
      <c r="D513" s="13"/>
    </row>
    <row r="514" customFormat="false" ht="15.75" hidden="false" customHeight="true" outlineLevel="0" collapsed="false">
      <c r="D514" s="13"/>
    </row>
    <row r="515" customFormat="false" ht="15.75" hidden="false" customHeight="true" outlineLevel="0" collapsed="false">
      <c r="D515" s="13"/>
    </row>
    <row r="516" customFormat="false" ht="15.75" hidden="false" customHeight="true" outlineLevel="0" collapsed="false">
      <c r="D516" s="13"/>
    </row>
    <row r="517" customFormat="false" ht="15.75" hidden="false" customHeight="true" outlineLevel="0" collapsed="false">
      <c r="D517" s="13"/>
    </row>
    <row r="518" customFormat="false" ht="15.75" hidden="false" customHeight="true" outlineLevel="0" collapsed="false">
      <c r="D518" s="13"/>
    </row>
    <row r="519" customFormat="false" ht="15.75" hidden="false" customHeight="true" outlineLevel="0" collapsed="false">
      <c r="D519" s="13"/>
    </row>
    <row r="520" customFormat="false" ht="15.75" hidden="false" customHeight="true" outlineLevel="0" collapsed="false">
      <c r="D520" s="13"/>
    </row>
    <row r="521" customFormat="false" ht="15.75" hidden="false" customHeight="true" outlineLevel="0" collapsed="false">
      <c r="D521" s="13"/>
    </row>
    <row r="522" customFormat="false" ht="15.75" hidden="false" customHeight="true" outlineLevel="0" collapsed="false">
      <c r="D522" s="13"/>
    </row>
    <row r="523" customFormat="false" ht="15.75" hidden="false" customHeight="true" outlineLevel="0" collapsed="false">
      <c r="D523" s="13"/>
    </row>
    <row r="524" customFormat="false" ht="15.75" hidden="false" customHeight="true" outlineLevel="0" collapsed="false">
      <c r="D524" s="13"/>
    </row>
    <row r="525" customFormat="false" ht="15.75" hidden="false" customHeight="true" outlineLevel="0" collapsed="false">
      <c r="D525" s="13"/>
    </row>
    <row r="526" customFormat="false" ht="15.75" hidden="false" customHeight="true" outlineLevel="0" collapsed="false">
      <c r="D526" s="13"/>
    </row>
    <row r="527" customFormat="false" ht="15.75" hidden="false" customHeight="true" outlineLevel="0" collapsed="false">
      <c r="D527" s="13"/>
    </row>
    <row r="528" customFormat="false" ht="15.75" hidden="false" customHeight="true" outlineLevel="0" collapsed="false">
      <c r="D528" s="13"/>
    </row>
    <row r="529" customFormat="false" ht="15.75" hidden="false" customHeight="true" outlineLevel="0" collapsed="false">
      <c r="D529" s="13"/>
    </row>
    <row r="530" customFormat="false" ht="15.75" hidden="false" customHeight="true" outlineLevel="0" collapsed="false">
      <c r="D530" s="13"/>
    </row>
    <row r="531" customFormat="false" ht="15.75" hidden="false" customHeight="true" outlineLevel="0" collapsed="false">
      <c r="D531" s="13"/>
    </row>
    <row r="532" customFormat="false" ht="15.75" hidden="false" customHeight="true" outlineLevel="0" collapsed="false">
      <c r="D532" s="13"/>
    </row>
    <row r="533" customFormat="false" ht="15.75" hidden="false" customHeight="true" outlineLevel="0" collapsed="false">
      <c r="D533" s="13"/>
    </row>
    <row r="534" customFormat="false" ht="15.75" hidden="false" customHeight="true" outlineLevel="0" collapsed="false">
      <c r="D534" s="13"/>
    </row>
    <row r="535" customFormat="false" ht="15.75" hidden="false" customHeight="true" outlineLevel="0" collapsed="false">
      <c r="D535" s="13"/>
    </row>
    <row r="536" customFormat="false" ht="15.75" hidden="false" customHeight="true" outlineLevel="0" collapsed="false">
      <c r="D536" s="13"/>
    </row>
    <row r="537" customFormat="false" ht="15.75" hidden="false" customHeight="true" outlineLevel="0" collapsed="false">
      <c r="D537" s="13"/>
    </row>
    <row r="538" customFormat="false" ht="15.75" hidden="false" customHeight="true" outlineLevel="0" collapsed="false">
      <c r="D538" s="13"/>
    </row>
    <row r="539" customFormat="false" ht="15.75" hidden="false" customHeight="true" outlineLevel="0" collapsed="false">
      <c r="D539" s="13"/>
    </row>
    <row r="540" customFormat="false" ht="15.75" hidden="false" customHeight="true" outlineLevel="0" collapsed="false">
      <c r="D540" s="13"/>
    </row>
    <row r="541" customFormat="false" ht="15.75" hidden="false" customHeight="true" outlineLevel="0" collapsed="false">
      <c r="D541" s="13"/>
    </row>
    <row r="542" customFormat="false" ht="15.75" hidden="false" customHeight="true" outlineLevel="0" collapsed="false">
      <c r="D542" s="13"/>
    </row>
    <row r="543" customFormat="false" ht="15.75" hidden="false" customHeight="true" outlineLevel="0" collapsed="false">
      <c r="D543" s="13"/>
    </row>
    <row r="544" customFormat="false" ht="15.75" hidden="false" customHeight="true" outlineLevel="0" collapsed="false">
      <c r="D544" s="13"/>
    </row>
    <row r="545" customFormat="false" ht="15.75" hidden="false" customHeight="true" outlineLevel="0" collapsed="false">
      <c r="D545" s="13"/>
    </row>
    <row r="546" customFormat="false" ht="15.75" hidden="false" customHeight="true" outlineLevel="0" collapsed="false">
      <c r="D546" s="13"/>
    </row>
    <row r="547" customFormat="false" ht="15.75" hidden="false" customHeight="true" outlineLevel="0" collapsed="false">
      <c r="D547" s="13"/>
    </row>
    <row r="548" customFormat="false" ht="15.75" hidden="false" customHeight="true" outlineLevel="0" collapsed="false">
      <c r="D548" s="13"/>
    </row>
    <row r="549" customFormat="false" ht="15.75" hidden="false" customHeight="true" outlineLevel="0" collapsed="false">
      <c r="D549" s="13"/>
    </row>
    <row r="550" customFormat="false" ht="15.75" hidden="false" customHeight="true" outlineLevel="0" collapsed="false">
      <c r="D550" s="13"/>
    </row>
    <row r="551" customFormat="false" ht="15.75" hidden="false" customHeight="true" outlineLevel="0" collapsed="false">
      <c r="D551" s="13"/>
    </row>
    <row r="552" customFormat="false" ht="15.75" hidden="false" customHeight="true" outlineLevel="0" collapsed="false">
      <c r="D552" s="13"/>
    </row>
    <row r="553" customFormat="false" ht="15.75" hidden="false" customHeight="true" outlineLevel="0" collapsed="false">
      <c r="D553" s="13"/>
    </row>
    <row r="554" customFormat="false" ht="15.75" hidden="false" customHeight="true" outlineLevel="0" collapsed="false">
      <c r="D554" s="13"/>
    </row>
    <row r="555" customFormat="false" ht="15.75" hidden="false" customHeight="true" outlineLevel="0" collapsed="false">
      <c r="D555" s="13"/>
    </row>
    <row r="556" customFormat="false" ht="15.75" hidden="false" customHeight="true" outlineLevel="0" collapsed="false">
      <c r="D556" s="13"/>
    </row>
    <row r="557" customFormat="false" ht="15.75" hidden="false" customHeight="true" outlineLevel="0" collapsed="false">
      <c r="D557" s="13"/>
    </row>
    <row r="558" customFormat="false" ht="15.75" hidden="false" customHeight="true" outlineLevel="0" collapsed="false">
      <c r="D558" s="13"/>
    </row>
    <row r="559" customFormat="false" ht="15.75" hidden="false" customHeight="true" outlineLevel="0" collapsed="false">
      <c r="D559" s="13"/>
    </row>
    <row r="560" customFormat="false" ht="15.75" hidden="false" customHeight="true" outlineLevel="0" collapsed="false">
      <c r="D560" s="13"/>
    </row>
    <row r="561" customFormat="false" ht="15.75" hidden="false" customHeight="true" outlineLevel="0" collapsed="false">
      <c r="D561" s="13"/>
    </row>
    <row r="562" customFormat="false" ht="15.75" hidden="false" customHeight="true" outlineLevel="0" collapsed="false">
      <c r="D562" s="13"/>
    </row>
    <row r="563" customFormat="false" ht="15.75" hidden="false" customHeight="true" outlineLevel="0" collapsed="false">
      <c r="D563" s="13"/>
    </row>
    <row r="564" customFormat="false" ht="15.75" hidden="false" customHeight="true" outlineLevel="0" collapsed="false">
      <c r="D564" s="13"/>
    </row>
    <row r="565" customFormat="false" ht="15.75" hidden="false" customHeight="true" outlineLevel="0" collapsed="false">
      <c r="D565" s="13"/>
    </row>
    <row r="566" customFormat="false" ht="15.75" hidden="false" customHeight="true" outlineLevel="0" collapsed="false">
      <c r="D566" s="13"/>
    </row>
    <row r="567" customFormat="false" ht="15.75" hidden="false" customHeight="true" outlineLevel="0" collapsed="false">
      <c r="D567" s="13"/>
    </row>
    <row r="568" customFormat="false" ht="15.75" hidden="false" customHeight="true" outlineLevel="0" collapsed="false">
      <c r="D568" s="13"/>
    </row>
    <row r="569" customFormat="false" ht="15.75" hidden="false" customHeight="true" outlineLevel="0" collapsed="false">
      <c r="D569" s="13"/>
    </row>
    <row r="570" customFormat="false" ht="15.75" hidden="false" customHeight="true" outlineLevel="0" collapsed="false">
      <c r="D570" s="13"/>
    </row>
    <row r="571" customFormat="false" ht="15.75" hidden="false" customHeight="true" outlineLevel="0" collapsed="false">
      <c r="D571" s="13"/>
    </row>
    <row r="572" customFormat="false" ht="15.75" hidden="false" customHeight="true" outlineLevel="0" collapsed="false">
      <c r="D572" s="13"/>
    </row>
    <row r="573" customFormat="false" ht="15.75" hidden="false" customHeight="true" outlineLevel="0" collapsed="false">
      <c r="D573" s="13"/>
    </row>
    <row r="574" customFormat="false" ht="15.75" hidden="false" customHeight="true" outlineLevel="0" collapsed="false">
      <c r="D574" s="13"/>
    </row>
    <row r="575" customFormat="false" ht="15.75" hidden="false" customHeight="true" outlineLevel="0" collapsed="false">
      <c r="D575" s="13"/>
    </row>
    <row r="576" customFormat="false" ht="15.75" hidden="false" customHeight="true" outlineLevel="0" collapsed="false">
      <c r="D576" s="13"/>
    </row>
    <row r="577" customFormat="false" ht="15.75" hidden="false" customHeight="true" outlineLevel="0" collapsed="false">
      <c r="D577" s="13"/>
    </row>
    <row r="578" customFormat="false" ht="15.75" hidden="false" customHeight="true" outlineLevel="0" collapsed="false">
      <c r="D578" s="13"/>
    </row>
    <row r="579" customFormat="false" ht="15.75" hidden="false" customHeight="true" outlineLevel="0" collapsed="false">
      <c r="D579" s="13"/>
    </row>
    <row r="580" customFormat="false" ht="15.75" hidden="false" customHeight="true" outlineLevel="0" collapsed="false">
      <c r="D580" s="13"/>
    </row>
    <row r="581" customFormat="false" ht="15.75" hidden="false" customHeight="true" outlineLevel="0" collapsed="false">
      <c r="D581" s="13"/>
    </row>
    <row r="582" customFormat="false" ht="15.75" hidden="false" customHeight="true" outlineLevel="0" collapsed="false">
      <c r="D582" s="13"/>
    </row>
    <row r="583" customFormat="false" ht="15.75" hidden="false" customHeight="true" outlineLevel="0" collapsed="false">
      <c r="D583" s="13"/>
    </row>
    <row r="584" customFormat="false" ht="15.75" hidden="false" customHeight="true" outlineLevel="0" collapsed="false">
      <c r="D584" s="13"/>
    </row>
    <row r="585" customFormat="false" ht="15.75" hidden="false" customHeight="true" outlineLevel="0" collapsed="false">
      <c r="D585" s="13"/>
    </row>
    <row r="586" customFormat="false" ht="15.75" hidden="false" customHeight="true" outlineLevel="0" collapsed="false">
      <c r="D586" s="13"/>
    </row>
    <row r="587" customFormat="false" ht="15.75" hidden="false" customHeight="true" outlineLevel="0" collapsed="false">
      <c r="D587" s="13"/>
    </row>
    <row r="588" customFormat="false" ht="15.75" hidden="false" customHeight="true" outlineLevel="0" collapsed="false">
      <c r="D588" s="13"/>
    </row>
    <row r="589" customFormat="false" ht="15.75" hidden="false" customHeight="true" outlineLevel="0" collapsed="false">
      <c r="D589" s="13"/>
    </row>
    <row r="590" customFormat="false" ht="15.75" hidden="false" customHeight="true" outlineLevel="0" collapsed="false">
      <c r="D590" s="13"/>
    </row>
    <row r="591" customFormat="false" ht="15.75" hidden="false" customHeight="true" outlineLevel="0" collapsed="false">
      <c r="D591" s="13"/>
    </row>
    <row r="592" customFormat="false" ht="15.75" hidden="false" customHeight="true" outlineLevel="0" collapsed="false">
      <c r="D592" s="13"/>
    </row>
    <row r="593" customFormat="false" ht="15.75" hidden="false" customHeight="true" outlineLevel="0" collapsed="false">
      <c r="D593" s="13"/>
    </row>
    <row r="594" customFormat="false" ht="15.75" hidden="false" customHeight="true" outlineLevel="0" collapsed="false">
      <c r="D594" s="13"/>
    </row>
    <row r="595" customFormat="false" ht="15.75" hidden="false" customHeight="true" outlineLevel="0" collapsed="false">
      <c r="D595" s="13"/>
    </row>
    <row r="596" customFormat="false" ht="15.75" hidden="false" customHeight="true" outlineLevel="0" collapsed="false">
      <c r="D596" s="13"/>
    </row>
    <row r="597" customFormat="false" ht="15.75" hidden="false" customHeight="true" outlineLevel="0" collapsed="false">
      <c r="D597" s="13"/>
    </row>
    <row r="598" customFormat="false" ht="15.75" hidden="false" customHeight="true" outlineLevel="0" collapsed="false">
      <c r="D598" s="13"/>
    </row>
    <row r="599" customFormat="false" ht="15.75" hidden="false" customHeight="true" outlineLevel="0" collapsed="false">
      <c r="D599" s="13"/>
    </row>
    <row r="600" customFormat="false" ht="15.75" hidden="false" customHeight="true" outlineLevel="0" collapsed="false">
      <c r="D600" s="13"/>
    </row>
    <row r="601" customFormat="false" ht="15.75" hidden="false" customHeight="true" outlineLevel="0" collapsed="false">
      <c r="D601" s="13"/>
    </row>
    <row r="602" customFormat="false" ht="15.75" hidden="false" customHeight="true" outlineLevel="0" collapsed="false">
      <c r="D602" s="13"/>
    </row>
    <row r="603" customFormat="false" ht="15.75" hidden="false" customHeight="true" outlineLevel="0" collapsed="false">
      <c r="D603" s="13"/>
    </row>
    <row r="604" customFormat="false" ht="15.75" hidden="false" customHeight="true" outlineLevel="0" collapsed="false">
      <c r="D604" s="13"/>
    </row>
    <row r="605" customFormat="false" ht="15.75" hidden="false" customHeight="true" outlineLevel="0" collapsed="false">
      <c r="D605" s="13"/>
    </row>
    <row r="606" customFormat="false" ht="15.75" hidden="false" customHeight="true" outlineLevel="0" collapsed="false">
      <c r="D606" s="13"/>
    </row>
    <row r="607" customFormat="false" ht="15.75" hidden="false" customHeight="true" outlineLevel="0" collapsed="false">
      <c r="D607" s="13"/>
    </row>
    <row r="608" customFormat="false" ht="15.75" hidden="false" customHeight="true" outlineLevel="0" collapsed="false">
      <c r="D608" s="13"/>
    </row>
    <row r="609" customFormat="false" ht="15.75" hidden="false" customHeight="true" outlineLevel="0" collapsed="false">
      <c r="D609" s="13"/>
    </row>
    <row r="610" customFormat="false" ht="15.75" hidden="false" customHeight="true" outlineLevel="0" collapsed="false">
      <c r="D610" s="13"/>
    </row>
    <row r="611" customFormat="false" ht="15.75" hidden="false" customHeight="true" outlineLevel="0" collapsed="false">
      <c r="D611" s="13"/>
    </row>
    <row r="612" customFormat="false" ht="15.75" hidden="false" customHeight="true" outlineLevel="0" collapsed="false">
      <c r="D612" s="13"/>
    </row>
    <row r="613" customFormat="false" ht="15.75" hidden="false" customHeight="true" outlineLevel="0" collapsed="false">
      <c r="D613" s="13"/>
    </row>
    <row r="614" customFormat="false" ht="15.75" hidden="false" customHeight="true" outlineLevel="0" collapsed="false">
      <c r="D614" s="13"/>
    </row>
    <row r="615" customFormat="false" ht="15.75" hidden="false" customHeight="true" outlineLevel="0" collapsed="false">
      <c r="D615" s="13"/>
    </row>
    <row r="616" customFormat="false" ht="15.75" hidden="false" customHeight="true" outlineLevel="0" collapsed="false">
      <c r="D616" s="13"/>
    </row>
    <row r="617" customFormat="false" ht="15.75" hidden="false" customHeight="true" outlineLevel="0" collapsed="false">
      <c r="D617" s="13"/>
    </row>
    <row r="618" customFormat="false" ht="15.75" hidden="false" customHeight="true" outlineLevel="0" collapsed="false">
      <c r="D618" s="13"/>
    </row>
    <row r="619" customFormat="false" ht="15.75" hidden="false" customHeight="true" outlineLevel="0" collapsed="false">
      <c r="D619" s="13"/>
    </row>
    <row r="620" customFormat="false" ht="15.75" hidden="false" customHeight="true" outlineLevel="0" collapsed="false">
      <c r="D620" s="13"/>
    </row>
    <row r="621" customFormat="false" ht="15.75" hidden="false" customHeight="true" outlineLevel="0" collapsed="false">
      <c r="D621" s="13"/>
    </row>
    <row r="622" customFormat="false" ht="15.75" hidden="false" customHeight="true" outlineLevel="0" collapsed="false">
      <c r="D622" s="13"/>
    </row>
    <row r="623" customFormat="false" ht="15.75" hidden="false" customHeight="true" outlineLevel="0" collapsed="false">
      <c r="D623" s="13"/>
    </row>
    <row r="624" customFormat="false" ht="15.75" hidden="false" customHeight="true" outlineLevel="0" collapsed="false">
      <c r="D624" s="13"/>
    </row>
    <row r="625" customFormat="false" ht="15.75" hidden="false" customHeight="true" outlineLevel="0" collapsed="false">
      <c r="D625" s="13"/>
    </row>
    <row r="626" customFormat="false" ht="15.75" hidden="false" customHeight="true" outlineLevel="0" collapsed="false">
      <c r="D626" s="13"/>
    </row>
    <row r="627" customFormat="false" ht="15.75" hidden="false" customHeight="true" outlineLevel="0" collapsed="false">
      <c r="D627" s="13"/>
    </row>
    <row r="628" customFormat="false" ht="15.75" hidden="false" customHeight="true" outlineLevel="0" collapsed="false">
      <c r="D628" s="13"/>
    </row>
    <row r="629" customFormat="false" ht="15.75" hidden="false" customHeight="true" outlineLevel="0" collapsed="false">
      <c r="D629" s="13"/>
    </row>
    <row r="630" customFormat="false" ht="15.75" hidden="false" customHeight="true" outlineLevel="0" collapsed="false">
      <c r="D630" s="13"/>
    </row>
    <row r="631" customFormat="false" ht="15.75" hidden="false" customHeight="true" outlineLevel="0" collapsed="false">
      <c r="D631" s="13"/>
    </row>
    <row r="632" customFormat="false" ht="15.75" hidden="false" customHeight="true" outlineLevel="0" collapsed="false">
      <c r="D632" s="13"/>
    </row>
    <row r="633" customFormat="false" ht="15.75" hidden="false" customHeight="true" outlineLevel="0" collapsed="false">
      <c r="D633" s="13"/>
    </row>
    <row r="634" customFormat="false" ht="15.75" hidden="false" customHeight="true" outlineLevel="0" collapsed="false">
      <c r="D634" s="13"/>
    </row>
    <row r="635" customFormat="false" ht="15.75" hidden="false" customHeight="true" outlineLevel="0" collapsed="false">
      <c r="D635" s="13"/>
    </row>
    <row r="636" customFormat="false" ht="15.75" hidden="false" customHeight="true" outlineLevel="0" collapsed="false">
      <c r="D636" s="13"/>
    </row>
    <row r="637" customFormat="false" ht="15.75" hidden="false" customHeight="true" outlineLevel="0" collapsed="false">
      <c r="D637" s="13"/>
    </row>
    <row r="638" customFormat="false" ht="15.75" hidden="false" customHeight="true" outlineLevel="0" collapsed="false">
      <c r="D638" s="13"/>
    </row>
    <row r="639" customFormat="false" ht="15.75" hidden="false" customHeight="true" outlineLevel="0" collapsed="false">
      <c r="D639" s="13"/>
    </row>
    <row r="640" customFormat="false" ht="15.75" hidden="false" customHeight="true" outlineLevel="0" collapsed="false">
      <c r="D640" s="13"/>
    </row>
    <row r="641" customFormat="false" ht="15.75" hidden="false" customHeight="true" outlineLevel="0" collapsed="false">
      <c r="D641" s="13"/>
    </row>
    <row r="642" customFormat="false" ht="15.75" hidden="false" customHeight="true" outlineLevel="0" collapsed="false">
      <c r="D642" s="13"/>
    </row>
    <row r="643" customFormat="false" ht="15.75" hidden="false" customHeight="true" outlineLevel="0" collapsed="false">
      <c r="D643" s="13"/>
    </row>
    <row r="644" customFormat="false" ht="15.75" hidden="false" customHeight="true" outlineLevel="0" collapsed="false">
      <c r="D644" s="13"/>
    </row>
    <row r="645" customFormat="false" ht="15.75" hidden="false" customHeight="true" outlineLevel="0" collapsed="false">
      <c r="D645" s="13"/>
    </row>
    <row r="646" customFormat="false" ht="15.75" hidden="false" customHeight="true" outlineLevel="0" collapsed="false">
      <c r="D646" s="13"/>
    </row>
    <row r="647" customFormat="false" ht="15.75" hidden="false" customHeight="true" outlineLevel="0" collapsed="false">
      <c r="D647" s="13"/>
    </row>
    <row r="648" customFormat="false" ht="15.75" hidden="false" customHeight="true" outlineLevel="0" collapsed="false">
      <c r="D648" s="13"/>
    </row>
    <row r="649" customFormat="false" ht="15.75" hidden="false" customHeight="true" outlineLevel="0" collapsed="false">
      <c r="D649" s="13"/>
    </row>
    <row r="650" customFormat="false" ht="15.75" hidden="false" customHeight="true" outlineLevel="0" collapsed="false">
      <c r="D650" s="13"/>
    </row>
    <row r="651" customFormat="false" ht="15.75" hidden="false" customHeight="true" outlineLevel="0" collapsed="false">
      <c r="D651" s="13"/>
    </row>
    <row r="652" customFormat="false" ht="15.75" hidden="false" customHeight="true" outlineLevel="0" collapsed="false">
      <c r="D652" s="13"/>
    </row>
    <row r="653" customFormat="false" ht="15.75" hidden="false" customHeight="true" outlineLevel="0" collapsed="false">
      <c r="D653" s="13"/>
    </row>
    <row r="654" customFormat="false" ht="15.75" hidden="false" customHeight="true" outlineLevel="0" collapsed="false">
      <c r="D654" s="13"/>
    </row>
    <row r="655" customFormat="false" ht="15.75" hidden="false" customHeight="true" outlineLevel="0" collapsed="false">
      <c r="D655" s="13"/>
    </row>
    <row r="656" customFormat="false" ht="15.75" hidden="false" customHeight="true" outlineLevel="0" collapsed="false">
      <c r="D656" s="13"/>
    </row>
    <row r="657" customFormat="false" ht="15.75" hidden="false" customHeight="true" outlineLevel="0" collapsed="false">
      <c r="D657" s="13"/>
    </row>
    <row r="658" customFormat="false" ht="15.75" hidden="false" customHeight="true" outlineLevel="0" collapsed="false">
      <c r="D658" s="13"/>
    </row>
    <row r="659" customFormat="false" ht="15.75" hidden="false" customHeight="true" outlineLevel="0" collapsed="false">
      <c r="D659" s="13"/>
    </row>
    <row r="660" customFormat="false" ht="15.75" hidden="false" customHeight="true" outlineLevel="0" collapsed="false">
      <c r="D660" s="13"/>
    </row>
    <row r="661" customFormat="false" ht="15.75" hidden="false" customHeight="true" outlineLevel="0" collapsed="false">
      <c r="D661" s="13"/>
    </row>
    <row r="662" customFormat="false" ht="15.75" hidden="false" customHeight="true" outlineLevel="0" collapsed="false">
      <c r="D662" s="13"/>
    </row>
    <row r="663" customFormat="false" ht="15.75" hidden="false" customHeight="true" outlineLevel="0" collapsed="false">
      <c r="D663" s="13"/>
    </row>
    <row r="664" customFormat="false" ht="15.75" hidden="false" customHeight="true" outlineLevel="0" collapsed="false">
      <c r="D664" s="13"/>
    </row>
    <row r="665" customFormat="false" ht="15.75" hidden="false" customHeight="true" outlineLevel="0" collapsed="false">
      <c r="D665" s="13"/>
    </row>
    <row r="666" customFormat="false" ht="15.75" hidden="false" customHeight="true" outlineLevel="0" collapsed="false">
      <c r="D666" s="13"/>
    </row>
    <row r="667" customFormat="false" ht="15.75" hidden="false" customHeight="true" outlineLevel="0" collapsed="false">
      <c r="D667" s="13"/>
    </row>
    <row r="668" customFormat="false" ht="15.75" hidden="false" customHeight="true" outlineLevel="0" collapsed="false">
      <c r="D668" s="13"/>
    </row>
    <row r="669" customFormat="false" ht="15.75" hidden="false" customHeight="true" outlineLevel="0" collapsed="false">
      <c r="D669" s="13"/>
    </row>
    <row r="670" customFormat="false" ht="15.75" hidden="false" customHeight="true" outlineLevel="0" collapsed="false">
      <c r="D670" s="13"/>
    </row>
    <row r="671" customFormat="false" ht="15.75" hidden="false" customHeight="true" outlineLevel="0" collapsed="false">
      <c r="D671" s="13"/>
    </row>
    <row r="672" customFormat="false" ht="15.75" hidden="false" customHeight="true" outlineLevel="0" collapsed="false">
      <c r="D672" s="13"/>
    </row>
    <row r="673" customFormat="false" ht="15.75" hidden="false" customHeight="true" outlineLevel="0" collapsed="false">
      <c r="D673" s="13"/>
    </row>
    <row r="674" customFormat="false" ht="15.75" hidden="false" customHeight="true" outlineLevel="0" collapsed="false">
      <c r="D674" s="13"/>
    </row>
    <row r="675" customFormat="false" ht="15.75" hidden="false" customHeight="true" outlineLevel="0" collapsed="false">
      <c r="D675" s="13"/>
    </row>
    <row r="676" customFormat="false" ht="15.75" hidden="false" customHeight="true" outlineLevel="0" collapsed="false">
      <c r="D676" s="13"/>
    </row>
    <row r="677" customFormat="false" ht="15.75" hidden="false" customHeight="true" outlineLevel="0" collapsed="false">
      <c r="D677" s="13"/>
    </row>
    <row r="678" customFormat="false" ht="15.75" hidden="false" customHeight="true" outlineLevel="0" collapsed="false">
      <c r="D678" s="13"/>
    </row>
    <row r="679" customFormat="false" ht="15.75" hidden="false" customHeight="true" outlineLevel="0" collapsed="false">
      <c r="D679" s="13"/>
    </row>
    <row r="680" customFormat="false" ht="15.75" hidden="false" customHeight="true" outlineLevel="0" collapsed="false">
      <c r="D680" s="13"/>
    </row>
    <row r="681" customFormat="false" ht="15.75" hidden="false" customHeight="true" outlineLevel="0" collapsed="false">
      <c r="D681" s="13"/>
    </row>
    <row r="682" customFormat="false" ht="15.75" hidden="false" customHeight="true" outlineLevel="0" collapsed="false">
      <c r="D682" s="13"/>
    </row>
    <row r="683" customFormat="false" ht="15.75" hidden="false" customHeight="true" outlineLevel="0" collapsed="false">
      <c r="D683" s="13"/>
    </row>
    <row r="684" customFormat="false" ht="15.75" hidden="false" customHeight="true" outlineLevel="0" collapsed="false">
      <c r="D684" s="13"/>
    </row>
    <row r="685" customFormat="false" ht="15.75" hidden="false" customHeight="true" outlineLevel="0" collapsed="false">
      <c r="D685" s="13"/>
    </row>
    <row r="686" customFormat="false" ht="15.75" hidden="false" customHeight="true" outlineLevel="0" collapsed="false">
      <c r="D686" s="13"/>
    </row>
    <row r="687" customFormat="false" ht="15.75" hidden="false" customHeight="true" outlineLevel="0" collapsed="false">
      <c r="D687" s="13"/>
    </row>
    <row r="688" customFormat="false" ht="15.75" hidden="false" customHeight="true" outlineLevel="0" collapsed="false">
      <c r="D688" s="13"/>
    </row>
    <row r="689" customFormat="false" ht="15.75" hidden="false" customHeight="true" outlineLevel="0" collapsed="false">
      <c r="D689" s="13"/>
    </row>
    <row r="690" customFormat="false" ht="15.75" hidden="false" customHeight="true" outlineLevel="0" collapsed="false">
      <c r="D690" s="13"/>
    </row>
    <row r="691" customFormat="false" ht="15.75" hidden="false" customHeight="true" outlineLevel="0" collapsed="false">
      <c r="D691" s="13"/>
    </row>
    <row r="692" customFormat="false" ht="15.75" hidden="false" customHeight="true" outlineLevel="0" collapsed="false">
      <c r="D692" s="13"/>
    </row>
    <row r="693" customFormat="false" ht="15.75" hidden="false" customHeight="true" outlineLevel="0" collapsed="false">
      <c r="D693" s="13"/>
    </row>
    <row r="694" customFormat="false" ht="15.75" hidden="false" customHeight="true" outlineLevel="0" collapsed="false">
      <c r="D694" s="13"/>
    </row>
    <row r="695" customFormat="false" ht="15.75" hidden="false" customHeight="true" outlineLevel="0" collapsed="false">
      <c r="D695" s="13"/>
    </row>
    <row r="696" customFormat="false" ht="15.75" hidden="false" customHeight="true" outlineLevel="0" collapsed="false">
      <c r="D696" s="13"/>
    </row>
    <row r="697" customFormat="false" ht="15.75" hidden="false" customHeight="true" outlineLevel="0" collapsed="false">
      <c r="D697" s="13"/>
    </row>
    <row r="698" customFormat="false" ht="15.75" hidden="false" customHeight="true" outlineLevel="0" collapsed="false">
      <c r="D698" s="13"/>
    </row>
    <row r="699" customFormat="false" ht="15.75" hidden="false" customHeight="true" outlineLevel="0" collapsed="false">
      <c r="D699" s="13"/>
    </row>
    <row r="700" customFormat="false" ht="15.75" hidden="false" customHeight="true" outlineLevel="0" collapsed="false">
      <c r="D700" s="13"/>
    </row>
    <row r="701" customFormat="false" ht="15.75" hidden="false" customHeight="true" outlineLevel="0" collapsed="false">
      <c r="D701" s="13"/>
    </row>
    <row r="702" customFormat="false" ht="15.75" hidden="false" customHeight="true" outlineLevel="0" collapsed="false">
      <c r="D702" s="13"/>
    </row>
    <row r="703" customFormat="false" ht="15.75" hidden="false" customHeight="true" outlineLevel="0" collapsed="false">
      <c r="D703" s="13"/>
    </row>
    <row r="704" customFormat="false" ht="15.75" hidden="false" customHeight="true" outlineLevel="0" collapsed="false">
      <c r="D704" s="13"/>
    </row>
    <row r="705" customFormat="false" ht="15.75" hidden="false" customHeight="true" outlineLevel="0" collapsed="false">
      <c r="D705" s="13"/>
    </row>
    <row r="706" customFormat="false" ht="15.75" hidden="false" customHeight="true" outlineLevel="0" collapsed="false">
      <c r="D706" s="13"/>
    </row>
    <row r="707" customFormat="false" ht="15.75" hidden="false" customHeight="true" outlineLevel="0" collapsed="false">
      <c r="D707" s="13"/>
    </row>
    <row r="708" customFormat="false" ht="15.75" hidden="false" customHeight="true" outlineLevel="0" collapsed="false">
      <c r="D708" s="13"/>
    </row>
    <row r="709" customFormat="false" ht="15.75" hidden="false" customHeight="true" outlineLevel="0" collapsed="false">
      <c r="D709" s="13"/>
    </row>
    <row r="710" customFormat="false" ht="15.75" hidden="false" customHeight="true" outlineLevel="0" collapsed="false">
      <c r="D710" s="13"/>
    </row>
    <row r="711" customFormat="false" ht="15.75" hidden="false" customHeight="true" outlineLevel="0" collapsed="false">
      <c r="D711" s="13"/>
    </row>
    <row r="712" customFormat="false" ht="15.75" hidden="false" customHeight="true" outlineLevel="0" collapsed="false">
      <c r="D712" s="13"/>
    </row>
    <row r="713" customFormat="false" ht="15.75" hidden="false" customHeight="true" outlineLevel="0" collapsed="false">
      <c r="D713" s="13"/>
    </row>
    <row r="714" customFormat="false" ht="15.75" hidden="false" customHeight="true" outlineLevel="0" collapsed="false">
      <c r="D714" s="13"/>
    </row>
    <row r="715" customFormat="false" ht="15.75" hidden="false" customHeight="true" outlineLevel="0" collapsed="false">
      <c r="D715" s="13"/>
    </row>
    <row r="716" customFormat="false" ht="15.75" hidden="false" customHeight="true" outlineLevel="0" collapsed="false">
      <c r="D716" s="13"/>
    </row>
    <row r="717" customFormat="false" ht="15.75" hidden="false" customHeight="true" outlineLevel="0" collapsed="false">
      <c r="D717" s="13"/>
    </row>
    <row r="718" customFormat="false" ht="15.75" hidden="false" customHeight="true" outlineLevel="0" collapsed="false">
      <c r="D718" s="13"/>
    </row>
    <row r="719" customFormat="false" ht="15.75" hidden="false" customHeight="true" outlineLevel="0" collapsed="false">
      <c r="D719" s="13"/>
    </row>
    <row r="720" customFormat="false" ht="15.75" hidden="false" customHeight="true" outlineLevel="0" collapsed="false">
      <c r="D720" s="13"/>
    </row>
    <row r="721" customFormat="false" ht="15.75" hidden="false" customHeight="true" outlineLevel="0" collapsed="false">
      <c r="D721" s="13"/>
    </row>
    <row r="722" customFormat="false" ht="15.75" hidden="false" customHeight="true" outlineLevel="0" collapsed="false">
      <c r="D722" s="13"/>
    </row>
    <row r="723" customFormat="false" ht="15.75" hidden="false" customHeight="true" outlineLevel="0" collapsed="false">
      <c r="D723" s="13"/>
    </row>
    <row r="724" customFormat="false" ht="15.75" hidden="false" customHeight="true" outlineLevel="0" collapsed="false">
      <c r="D724" s="13"/>
    </row>
    <row r="725" customFormat="false" ht="15.75" hidden="false" customHeight="true" outlineLevel="0" collapsed="false">
      <c r="D725" s="13"/>
    </row>
    <row r="726" customFormat="false" ht="15.75" hidden="false" customHeight="true" outlineLevel="0" collapsed="false">
      <c r="D726" s="13"/>
    </row>
    <row r="727" customFormat="false" ht="15.75" hidden="false" customHeight="true" outlineLevel="0" collapsed="false">
      <c r="D727" s="13"/>
    </row>
    <row r="728" customFormat="false" ht="15.75" hidden="false" customHeight="true" outlineLevel="0" collapsed="false">
      <c r="D728" s="13"/>
    </row>
    <row r="729" customFormat="false" ht="15.75" hidden="false" customHeight="true" outlineLevel="0" collapsed="false">
      <c r="D729" s="13"/>
    </row>
    <row r="730" customFormat="false" ht="15.75" hidden="false" customHeight="true" outlineLevel="0" collapsed="false">
      <c r="D730" s="13"/>
    </row>
    <row r="731" customFormat="false" ht="15.75" hidden="false" customHeight="true" outlineLevel="0" collapsed="false">
      <c r="D731" s="13"/>
    </row>
    <row r="732" customFormat="false" ht="15.75" hidden="false" customHeight="true" outlineLevel="0" collapsed="false">
      <c r="D732" s="13"/>
    </row>
    <row r="733" customFormat="false" ht="15.75" hidden="false" customHeight="true" outlineLevel="0" collapsed="false">
      <c r="D733" s="13"/>
    </row>
    <row r="734" customFormat="false" ht="15.75" hidden="false" customHeight="true" outlineLevel="0" collapsed="false">
      <c r="D734" s="13"/>
    </row>
    <row r="735" customFormat="false" ht="15.75" hidden="false" customHeight="true" outlineLevel="0" collapsed="false">
      <c r="D735" s="13"/>
    </row>
    <row r="736" customFormat="false" ht="15.75" hidden="false" customHeight="true" outlineLevel="0" collapsed="false">
      <c r="D736" s="13"/>
    </row>
    <row r="737" customFormat="false" ht="15.75" hidden="false" customHeight="true" outlineLevel="0" collapsed="false">
      <c r="D737" s="13"/>
    </row>
    <row r="738" customFormat="false" ht="15.75" hidden="false" customHeight="true" outlineLevel="0" collapsed="false">
      <c r="D738" s="13"/>
    </row>
    <row r="739" customFormat="false" ht="15.75" hidden="false" customHeight="true" outlineLevel="0" collapsed="false">
      <c r="D739" s="13"/>
    </row>
    <row r="740" customFormat="false" ht="15.75" hidden="false" customHeight="true" outlineLevel="0" collapsed="false">
      <c r="D740" s="13"/>
    </row>
    <row r="741" customFormat="false" ht="15.75" hidden="false" customHeight="true" outlineLevel="0" collapsed="false">
      <c r="D741" s="13"/>
    </row>
    <row r="742" customFormat="false" ht="15.75" hidden="false" customHeight="true" outlineLevel="0" collapsed="false">
      <c r="D742" s="13"/>
    </row>
    <row r="743" customFormat="false" ht="15.75" hidden="false" customHeight="true" outlineLevel="0" collapsed="false">
      <c r="D743" s="13"/>
    </row>
    <row r="744" customFormat="false" ht="15.75" hidden="false" customHeight="true" outlineLevel="0" collapsed="false">
      <c r="D744" s="13"/>
    </row>
    <row r="745" customFormat="false" ht="15.75" hidden="false" customHeight="true" outlineLevel="0" collapsed="false">
      <c r="D745" s="13"/>
    </row>
    <row r="746" customFormat="false" ht="15.75" hidden="false" customHeight="true" outlineLevel="0" collapsed="false">
      <c r="D746" s="13"/>
    </row>
    <row r="747" customFormat="false" ht="15.75" hidden="false" customHeight="true" outlineLevel="0" collapsed="false">
      <c r="D747" s="13"/>
    </row>
    <row r="748" customFormat="false" ht="15.75" hidden="false" customHeight="true" outlineLevel="0" collapsed="false">
      <c r="D748" s="13"/>
    </row>
    <row r="749" customFormat="false" ht="15.75" hidden="false" customHeight="true" outlineLevel="0" collapsed="false">
      <c r="D749" s="13"/>
    </row>
    <row r="750" customFormat="false" ht="15.75" hidden="false" customHeight="true" outlineLevel="0" collapsed="false">
      <c r="D750" s="13"/>
    </row>
    <row r="751" customFormat="false" ht="15.75" hidden="false" customHeight="true" outlineLevel="0" collapsed="false">
      <c r="D751" s="13"/>
    </row>
    <row r="752" customFormat="false" ht="15.75" hidden="false" customHeight="true" outlineLevel="0" collapsed="false">
      <c r="D752" s="13"/>
    </row>
    <row r="753" customFormat="false" ht="15.75" hidden="false" customHeight="true" outlineLevel="0" collapsed="false">
      <c r="D753" s="13"/>
    </row>
    <row r="754" customFormat="false" ht="15.75" hidden="false" customHeight="true" outlineLevel="0" collapsed="false">
      <c r="D754" s="13"/>
    </row>
    <row r="755" customFormat="false" ht="15.75" hidden="false" customHeight="true" outlineLevel="0" collapsed="false">
      <c r="D755" s="13"/>
    </row>
    <row r="756" customFormat="false" ht="15.75" hidden="false" customHeight="true" outlineLevel="0" collapsed="false">
      <c r="D756" s="13"/>
    </row>
    <row r="757" customFormat="false" ht="15.75" hidden="false" customHeight="true" outlineLevel="0" collapsed="false">
      <c r="D757" s="13"/>
    </row>
    <row r="758" customFormat="false" ht="15.75" hidden="false" customHeight="true" outlineLevel="0" collapsed="false">
      <c r="D758" s="13"/>
    </row>
    <row r="759" customFormat="false" ht="15.75" hidden="false" customHeight="true" outlineLevel="0" collapsed="false">
      <c r="D759" s="13"/>
    </row>
    <row r="760" customFormat="false" ht="15.75" hidden="false" customHeight="true" outlineLevel="0" collapsed="false">
      <c r="D760" s="13"/>
    </row>
    <row r="761" customFormat="false" ht="15.75" hidden="false" customHeight="true" outlineLevel="0" collapsed="false">
      <c r="D761" s="13"/>
    </row>
    <row r="762" customFormat="false" ht="15.75" hidden="false" customHeight="true" outlineLevel="0" collapsed="false">
      <c r="D762" s="13"/>
    </row>
    <row r="763" customFormat="false" ht="15.75" hidden="false" customHeight="true" outlineLevel="0" collapsed="false">
      <c r="D763" s="13"/>
    </row>
    <row r="764" customFormat="false" ht="15.75" hidden="false" customHeight="true" outlineLevel="0" collapsed="false">
      <c r="D764" s="13"/>
    </row>
    <row r="765" customFormat="false" ht="15.75" hidden="false" customHeight="true" outlineLevel="0" collapsed="false">
      <c r="D765" s="13"/>
    </row>
    <row r="766" customFormat="false" ht="15.75" hidden="false" customHeight="true" outlineLevel="0" collapsed="false">
      <c r="D766" s="13"/>
    </row>
    <row r="767" customFormat="false" ht="15.75" hidden="false" customHeight="true" outlineLevel="0" collapsed="false">
      <c r="D767" s="13"/>
    </row>
    <row r="768" customFormat="false" ht="15.75" hidden="false" customHeight="true" outlineLevel="0" collapsed="false">
      <c r="D768" s="13"/>
    </row>
    <row r="769" customFormat="false" ht="15.75" hidden="false" customHeight="true" outlineLevel="0" collapsed="false">
      <c r="D769" s="13"/>
    </row>
    <row r="770" customFormat="false" ht="15.75" hidden="false" customHeight="true" outlineLevel="0" collapsed="false">
      <c r="D770" s="13"/>
    </row>
    <row r="771" customFormat="false" ht="15.75" hidden="false" customHeight="true" outlineLevel="0" collapsed="false">
      <c r="D771" s="13"/>
    </row>
    <row r="772" customFormat="false" ht="15.75" hidden="false" customHeight="true" outlineLevel="0" collapsed="false">
      <c r="D772" s="13"/>
    </row>
    <row r="773" customFormat="false" ht="15.75" hidden="false" customHeight="true" outlineLevel="0" collapsed="false">
      <c r="D773" s="13"/>
    </row>
    <row r="774" customFormat="false" ht="15.75" hidden="false" customHeight="true" outlineLevel="0" collapsed="false">
      <c r="D774" s="13"/>
    </row>
    <row r="775" customFormat="false" ht="15.75" hidden="false" customHeight="true" outlineLevel="0" collapsed="false">
      <c r="D775" s="13"/>
    </row>
    <row r="776" customFormat="false" ht="15.75" hidden="false" customHeight="true" outlineLevel="0" collapsed="false">
      <c r="D776" s="13"/>
    </row>
    <row r="777" customFormat="false" ht="15.75" hidden="false" customHeight="true" outlineLevel="0" collapsed="false">
      <c r="D777" s="13"/>
    </row>
    <row r="778" customFormat="false" ht="15.75" hidden="false" customHeight="true" outlineLevel="0" collapsed="false">
      <c r="D778" s="13"/>
    </row>
    <row r="779" customFormat="false" ht="15.75" hidden="false" customHeight="true" outlineLevel="0" collapsed="false">
      <c r="D779" s="13"/>
    </row>
    <row r="780" customFormat="false" ht="15.75" hidden="false" customHeight="true" outlineLevel="0" collapsed="false">
      <c r="D780" s="13"/>
    </row>
    <row r="781" customFormat="false" ht="15.75" hidden="false" customHeight="true" outlineLevel="0" collapsed="false">
      <c r="D781" s="13"/>
    </row>
    <row r="782" customFormat="false" ht="15.75" hidden="false" customHeight="true" outlineLevel="0" collapsed="false">
      <c r="D782" s="13"/>
    </row>
    <row r="783" customFormat="false" ht="15.75" hidden="false" customHeight="true" outlineLevel="0" collapsed="false">
      <c r="D783" s="13"/>
    </row>
    <row r="784" customFormat="false" ht="15.75" hidden="false" customHeight="true" outlineLevel="0" collapsed="false">
      <c r="D784" s="13"/>
    </row>
    <row r="785" customFormat="false" ht="15.75" hidden="false" customHeight="true" outlineLevel="0" collapsed="false">
      <c r="D785" s="13"/>
    </row>
    <row r="786" customFormat="false" ht="15.75" hidden="false" customHeight="true" outlineLevel="0" collapsed="false">
      <c r="D786" s="13"/>
    </row>
    <row r="787" customFormat="false" ht="15.75" hidden="false" customHeight="true" outlineLevel="0" collapsed="false">
      <c r="D787" s="13"/>
    </row>
    <row r="788" customFormat="false" ht="15.75" hidden="false" customHeight="true" outlineLevel="0" collapsed="false">
      <c r="D788" s="13"/>
    </row>
    <row r="789" customFormat="false" ht="15.75" hidden="false" customHeight="true" outlineLevel="0" collapsed="false">
      <c r="D789" s="13"/>
    </row>
    <row r="790" customFormat="false" ht="15.75" hidden="false" customHeight="true" outlineLevel="0" collapsed="false">
      <c r="D790" s="13"/>
    </row>
    <row r="791" customFormat="false" ht="15.75" hidden="false" customHeight="true" outlineLevel="0" collapsed="false">
      <c r="D791" s="13"/>
    </row>
    <row r="792" customFormat="false" ht="15.75" hidden="false" customHeight="true" outlineLevel="0" collapsed="false">
      <c r="D792" s="13"/>
    </row>
    <row r="793" customFormat="false" ht="15.75" hidden="false" customHeight="true" outlineLevel="0" collapsed="false">
      <c r="D793" s="13"/>
    </row>
    <row r="794" customFormat="false" ht="15.75" hidden="false" customHeight="true" outlineLevel="0" collapsed="false">
      <c r="D794" s="13"/>
    </row>
    <row r="795" customFormat="false" ht="15.75" hidden="false" customHeight="true" outlineLevel="0" collapsed="false">
      <c r="D795" s="13"/>
    </row>
    <row r="796" customFormat="false" ht="15.75" hidden="false" customHeight="true" outlineLevel="0" collapsed="false">
      <c r="D796" s="13"/>
    </row>
    <row r="797" customFormat="false" ht="15.75" hidden="false" customHeight="true" outlineLevel="0" collapsed="false">
      <c r="D797" s="13"/>
    </row>
    <row r="798" customFormat="false" ht="15.75" hidden="false" customHeight="true" outlineLevel="0" collapsed="false">
      <c r="D798" s="13"/>
    </row>
    <row r="799" customFormat="false" ht="15.75" hidden="false" customHeight="true" outlineLevel="0" collapsed="false">
      <c r="D799" s="13"/>
    </row>
    <row r="800" customFormat="false" ht="15.75" hidden="false" customHeight="true" outlineLevel="0" collapsed="false">
      <c r="D800" s="13"/>
    </row>
    <row r="801" customFormat="false" ht="15.75" hidden="false" customHeight="true" outlineLevel="0" collapsed="false">
      <c r="D801" s="13"/>
    </row>
    <row r="802" customFormat="false" ht="15.75" hidden="false" customHeight="true" outlineLevel="0" collapsed="false">
      <c r="D802" s="13"/>
    </row>
    <row r="803" customFormat="false" ht="15.75" hidden="false" customHeight="true" outlineLevel="0" collapsed="false">
      <c r="D803" s="13"/>
    </row>
    <row r="804" customFormat="false" ht="15.75" hidden="false" customHeight="true" outlineLevel="0" collapsed="false">
      <c r="D804" s="13"/>
    </row>
    <row r="805" customFormat="false" ht="15.75" hidden="false" customHeight="true" outlineLevel="0" collapsed="false">
      <c r="D805" s="13"/>
    </row>
    <row r="806" customFormat="false" ht="15.75" hidden="false" customHeight="true" outlineLevel="0" collapsed="false">
      <c r="D806" s="13"/>
    </row>
    <row r="807" customFormat="false" ht="15.75" hidden="false" customHeight="true" outlineLevel="0" collapsed="false">
      <c r="D807" s="13"/>
    </row>
    <row r="808" customFormat="false" ht="15.75" hidden="false" customHeight="true" outlineLevel="0" collapsed="false">
      <c r="D808" s="13"/>
    </row>
    <row r="809" customFormat="false" ht="15.75" hidden="false" customHeight="true" outlineLevel="0" collapsed="false">
      <c r="D809" s="13"/>
    </row>
    <row r="810" customFormat="false" ht="15.75" hidden="false" customHeight="true" outlineLevel="0" collapsed="false">
      <c r="D810" s="13"/>
    </row>
    <row r="811" customFormat="false" ht="15.75" hidden="false" customHeight="true" outlineLevel="0" collapsed="false">
      <c r="D811" s="13"/>
    </row>
    <row r="812" customFormat="false" ht="15.75" hidden="false" customHeight="true" outlineLevel="0" collapsed="false">
      <c r="D812" s="13"/>
    </row>
    <row r="813" customFormat="false" ht="15.75" hidden="false" customHeight="true" outlineLevel="0" collapsed="false">
      <c r="D813" s="13"/>
    </row>
    <row r="814" customFormat="false" ht="15.75" hidden="false" customHeight="true" outlineLevel="0" collapsed="false">
      <c r="D814" s="13"/>
    </row>
    <row r="815" customFormat="false" ht="15.75" hidden="false" customHeight="true" outlineLevel="0" collapsed="false">
      <c r="D815" s="13"/>
    </row>
    <row r="816" customFormat="false" ht="15.75" hidden="false" customHeight="true" outlineLevel="0" collapsed="false">
      <c r="D816" s="13"/>
    </row>
    <row r="817" customFormat="false" ht="15.75" hidden="false" customHeight="true" outlineLevel="0" collapsed="false">
      <c r="D817" s="13"/>
    </row>
    <row r="818" customFormat="false" ht="15.75" hidden="false" customHeight="true" outlineLevel="0" collapsed="false">
      <c r="D818" s="13"/>
    </row>
    <row r="819" customFormat="false" ht="15.75" hidden="false" customHeight="true" outlineLevel="0" collapsed="false">
      <c r="D819" s="13"/>
    </row>
    <row r="820" customFormat="false" ht="15.75" hidden="false" customHeight="true" outlineLevel="0" collapsed="false">
      <c r="D820" s="13"/>
    </row>
    <row r="821" customFormat="false" ht="15.75" hidden="false" customHeight="true" outlineLevel="0" collapsed="false">
      <c r="D821" s="13"/>
    </row>
    <row r="822" customFormat="false" ht="15.75" hidden="false" customHeight="true" outlineLevel="0" collapsed="false">
      <c r="D822" s="13"/>
    </row>
    <row r="823" customFormat="false" ht="15.75" hidden="false" customHeight="true" outlineLevel="0" collapsed="false">
      <c r="D823" s="13"/>
    </row>
    <row r="824" customFormat="false" ht="15.75" hidden="false" customHeight="true" outlineLevel="0" collapsed="false">
      <c r="D824" s="13"/>
    </row>
    <row r="825" customFormat="false" ht="15.75" hidden="false" customHeight="true" outlineLevel="0" collapsed="false">
      <c r="D825" s="13"/>
    </row>
    <row r="826" customFormat="false" ht="15.75" hidden="false" customHeight="true" outlineLevel="0" collapsed="false">
      <c r="D826" s="13"/>
    </row>
    <row r="827" customFormat="false" ht="15.75" hidden="false" customHeight="true" outlineLevel="0" collapsed="false">
      <c r="D827" s="13"/>
    </row>
    <row r="828" customFormat="false" ht="15.75" hidden="false" customHeight="true" outlineLevel="0" collapsed="false">
      <c r="D828" s="13"/>
    </row>
    <row r="829" customFormat="false" ht="15.75" hidden="false" customHeight="true" outlineLevel="0" collapsed="false">
      <c r="D829" s="13"/>
    </row>
    <row r="830" customFormat="false" ht="15.75" hidden="false" customHeight="true" outlineLevel="0" collapsed="false">
      <c r="D830" s="13"/>
    </row>
    <row r="831" customFormat="false" ht="15.75" hidden="false" customHeight="true" outlineLevel="0" collapsed="false">
      <c r="D831" s="13"/>
    </row>
    <row r="832" customFormat="false" ht="15.75" hidden="false" customHeight="true" outlineLevel="0" collapsed="false">
      <c r="D832" s="13"/>
    </row>
    <row r="833" customFormat="false" ht="15.75" hidden="false" customHeight="true" outlineLevel="0" collapsed="false">
      <c r="D833" s="13"/>
    </row>
    <row r="834" customFormat="false" ht="15.75" hidden="false" customHeight="true" outlineLevel="0" collapsed="false">
      <c r="D834" s="13"/>
    </row>
    <row r="835" customFormat="false" ht="15.75" hidden="false" customHeight="true" outlineLevel="0" collapsed="false">
      <c r="D835" s="13"/>
    </row>
    <row r="836" customFormat="false" ht="15.75" hidden="false" customHeight="true" outlineLevel="0" collapsed="false">
      <c r="D836" s="13"/>
    </row>
    <row r="837" customFormat="false" ht="15.75" hidden="false" customHeight="true" outlineLevel="0" collapsed="false">
      <c r="D837" s="13"/>
    </row>
    <row r="838" customFormat="false" ht="15.75" hidden="false" customHeight="true" outlineLevel="0" collapsed="false">
      <c r="D838" s="13"/>
    </row>
    <row r="839" customFormat="false" ht="15.75" hidden="false" customHeight="true" outlineLevel="0" collapsed="false">
      <c r="D839" s="13"/>
    </row>
    <row r="840" customFormat="false" ht="15.75" hidden="false" customHeight="true" outlineLevel="0" collapsed="false">
      <c r="D840" s="13"/>
    </row>
    <row r="841" customFormat="false" ht="15.75" hidden="false" customHeight="true" outlineLevel="0" collapsed="false">
      <c r="D841" s="13"/>
    </row>
    <row r="842" customFormat="false" ht="15.75" hidden="false" customHeight="true" outlineLevel="0" collapsed="false">
      <c r="D842" s="13"/>
    </row>
    <row r="843" customFormat="false" ht="15.75" hidden="false" customHeight="true" outlineLevel="0" collapsed="false">
      <c r="D843" s="13"/>
    </row>
    <row r="844" customFormat="false" ht="15.75" hidden="false" customHeight="true" outlineLevel="0" collapsed="false">
      <c r="D844" s="13"/>
    </row>
    <row r="845" customFormat="false" ht="15.75" hidden="false" customHeight="true" outlineLevel="0" collapsed="false">
      <c r="D845" s="13"/>
    </row>
    <row r="846" customFormat="false" ht="15.75" hidden="false" customHeight="true" outlineLevel="0" collapsed="false">
      <c r="D846" s="13"/>
    </row>
    <row r="847" customFormat="false" ht="15.75" hidden="false" customHeight="true" outlineLevel="0" collapsed="false">
      <c r="D847" s="13"/>
    </row>
    <row r="848" customFormat="false" ht="15.75" hidden="false" customHeight="true" outlineLevel="0" collapsed="false">
      <c r="D848" s="13"/>
    </row>
    <row r="849" customFormat="false" ht="15.75" hidden="false" customHeight="true" outlineLevel="0" collapsed="false">
      <c r="D849" s="13"/>
    </row>
    <row r="850" customFormat="false" ht="15.75" hidden="false" customHeight="true" outlineLevel="0" collapsed="false">
      <c r="D850" s="13"/>
    </row>
    <row r="851" customFormat="false" ht="15.75" hidden="false" customHeight="true" outlineLevel="0" collapsed="false">
      <c r="D851" s="13"/>
    </row>
    <row r="852" customFormat="false" ht="15.75" hidden="false" customHeight="true" outlineLevel="0" collapsed="false">
      <c r="D852" s="13"/>
    </row>
    <row r="853" customFormat="false" ht="15.75" hidden="false" customHeight="true" outlineLevel="0" collapsed="false">
      <c r="D853" s="13"/>
    </row>
    <row r="854" customFormat="false" ht="15.75" hidden="false" customHeight="true" outlineLevel="0" collapsed="false">
      <c r="D854" s="13"/>
    </row>
    <row r="855" customFormat="false" ht="15.75" hidden="false" customHeight="true" outlineLevel="0" collapsed="false">
      <c r="D855" s="13"/>
    </row>
    <row r="856" customFormat="false" ht="15.75" hidden="false" customHeight="true" outlineLevel="0" collapsed="false">
      <c r="D856" s="13"/>
    </row>
    <row r="857" customFormat="false" ht="15.75" hidden="false" customHeight="true" outlineLevel="0" collapsed="false">
      <c r="D857" s="13"/>
    </row>
    <row r="858" customFormat="false" ht="15.75" hidden="false" customHeight="true" outlineLevel="0" collapsed="false">
      <c r="D858" s="13"/>
    </row>
    <row r="859" customFormat="false" ht="15.75" hidden="false" customHeight="true" outlineLevel="0" collapsed="false">
      <c r="D859" s="13"/>
    </row>
    <row r="860" customFormat="false" ht="15.75" hidden="false" customHeight="true" outlineLevel="0" collapsed="false">
      <c r="D860" s="13"/>
    </row>
    <row r="861" customFormat="false" ht="15.75" hidden="false" customHeight="true" outlineLevel="0" collapsed="false">
      <c r="D861" s="13"/>
    </row>
    <row r="862" customFormat="false" ht="15.75" hidden="false" customHeight="true" outlineLevel="0" collapsed="false">
      <c r="D862" s="13"/>
    </row>
    <row r="863" customFormat="false" ht="15.75" hidden="false" customHeight="true" outlineLevel="0" collapsed="false">
      <c r="D863" s="13"/>
    </row>
    <row r="864" customFormat="false" ht="15.75" hidden="false" customHeight="true" outlineLevel="0" collapsed="false">
      <c r="D864" s="13"/>
    </row>
    <row r="865" customFormat="false" ht="15.75" hidden="false" customHeight="true" outlineLevel="0" collapsed="false">
      <c r="D865" s="13"/>
    </row>
    <row r="866" customFormat="false" ht="15.75" hidden="false" customHeight="true" outlineLevel="0" collapsed="false">
      <c r="D866" s="13"/>
    </row>
    <row r="867" customFormat="false" ht="15.75" hidden="false" customHeight="true" outlineLevel="0" collapsed="false">
      <c r="D867" s="13"/>
    </row>
    <row r="868" customFormat="false" ht="15.75" hidden="false" customHeight="true" outlineLevel="0" collapsed="false">
      <c r="D868" s="13"/>
    </row>
    <row r="869" customFormat="false" ht="15.75" hidden="false" customHeight="true" outlineLevel="0" collapsed="false">
      <c r="D869" s="13"/>
    </row>
    <row r="870" customFormat="false" ht="15.75" hidden="false" customHeight="true" outlineLevel="0" collapsed="false">
      <c r="D870" s="13"/>
    </row>
    <row r="871" customFormat="false" ht="15.75" hidden="false" customHeight="true" outlineLevel="0" collapsed="false">
      <c r="D871" s="13"/>
    </row>
    <row r="872" customFormat="false" ht="15.75" hidden="false" customHeight="true" outlineLevel="0" collapsed="false">
      <c r="D872" s="13"/>
    </row>
    <row r="873" customFormat="false" ht="15.75" hidden="false" customHeight="true" outlineLevel="0" collapsed="false">
      <c r="D873" s="13"/>
    </row>
    <row r="874" customFormat="false" ht="15.75" hidden="false" customHeight="true" outlineLevel="0" collapsed="false">
      <c r="D874" s="13"/>
    </row>
    <row r="875" customFormat="false" ht="15.75" hidden="false" customHeight="true" outlineLevel="0" collapsed="false">
      <c r="D875" s="13"/>
    </row>
    <row r="876" customFormat="false" ht="15.75" hidden="false" customHeight="true" outlineLevel="0" collapsed="false">
      <c r="D876" s="13"/>
    </row>
    <row r="877" customFormat="false" ht="15.75" hidden="false" customHeight="true" outlineLevel="0" collapsed="false">
      <c r="D877" s="13"/>
    </row>
    <row r="878" customFormat="false" ht="15.75" hidden="false" customHeight="true" outlineLevel="0" collapsed="false">
      <c r="D878" s="13"/>
    </row>
    <row r="879" customFormat="false" ht="15.75" hidden="false" customHeight="true" outlineLevel="0" collapsed="false">
      <c r="D879" s="13"/>
    </row>
    <row r="880" customFormat="false" ht="15.75" hidden="false" customHeight="true" outlineLevel="0" collapsed="false">
      <c r="D880" s="13"/>
    </row>
    <row r="881" customFormat="false" ht="15.75" hidden="false" customHeight="true" outlineLevel="0" collapsed="false">
      <c r="D881" s="13"/>
    </row>
    <row r="882" customFormat="false" ht="15.75" hidden="false" customHeight="true" outlineLevel="0" collapsed="false">
      <c r="D882" s="13"/>
    </row>
    <row r="883" customFormat="false" ht="15.75" hidden="false" customHeight="true" outlineLevel="0" collapsed="false">
      <c r="D883" s="13"/>
    </row>
    <row r="884" customFormat="false" ht="15.75" hidden="false" customHeight="true" outlineLevel="0" collapsed="false">
      <c r="D884" s="13"/>
    </row>
    <row r="885" customFormat="false" ht="15.75" hidden="false" customHeight="true" outlineLevel="0" collapsed="false">
      <c r="D885" s="13"/>
    </row>
    <row r="886" customFormat="false" ht="15.75" hidden="false" customHeight="true" outlineLevel="0" collapsed="false">
      <c r="D886" s="13"/>
    </row>
    <row r="887" customFormat="false" ht="15.75" hidden="false" customHeight="true" outlineLevel="0" collapsed="false">
      <c r="D887" s="13"/>
    </row>
    <row r="888" customFormat="false" ht="15.75" hidden="false" customHeight="true" outlineLevel="0" collapsed="false">
      <c r="D888" s="13"/>
    </row>
    <row r="889" customFormat="false" ht="15.75" hidden="false" customHeight="true" outlineLevel="0" collapsed="false">
      <c r="D889" s="13"/>
    </row>
    <row r="890" customFormat="false" ht="15.75" hidden="false" customHeight="true" outlineLevel="0" collapsed="false">
      <c r="D890" s="13"/>
    </row>
    <row r="891" customFormat="false" ht="15.75" hidden="false" customHeight="true" outlineLevel="0" collapsed="false">
      <c r="D891" s="13"/>
    </row>
    <row r="892" customFormat="false" ht="15.75" hidden="false" customHeight="true" outlineLevel="0" collapsed="false">
      <c r="D892" s="13"/>
    </row>
    <row r="893" customFormat="false" ht="15.75" hidden="false" customHeight="true" outlineLevel="0" collapsed="false">
      <c r="D893" s="13"/>
    </row>
    <row r="894" customFormat="false" ht="15.75" hidden="false" customHeight="true" outlineLevel="0" collapsed="false">
      <c r="D894" s="13"/>
    </row>
    <row r="895" customFormat="false" ht="15.75" hidden="false" customHeight="true" outlineLevel="0" collapsed="false">
      <c r="D895" s="13"/>
    </row>
    <row r="896" customFormat="false" ht="15.75" hidden="false" customHeight="true" outlineLevel="0" collapsed="false">
      <c r="D896" s="13"/>
    </row>
    <row r="897" customFormat="false" ht="15.75" hidden="false" customHeight="true" outlineLevel="0" collapsed="false">
      <c r="D897" s="13"/>
    </row>
    <row r="898" customFormat="false" ht="15.75" hidden="false" customHeight="true" outlineLevel="0" collapsed="false">
      <c r="D898" s="13"/>
    </row>
    <row r="899" customFormat="false" ht="15.75" hidden="false" customHeight="true" outlineLevel="0" collapsed="false">
      <c r="D899" s="13"/>
    </row>
    <row r="900" customFormat="false" ht="15.75" hidden="false" customHeight="true" outlineLevel="0" collapsed="false">
      <c r="D900" s="13"/>
    </row>
    <row r="901" customFormat="false" ht="15.75" hidden="false" customHeight="true" outlineLevel="0" collapsed="false">
      <c r="D901" s="13"/>
    </row>
    <row r="902" customFormat="false" ht="15.75" hidden="false" customHeight="true" outlineLevel="0" collapsed="false">
      <c r="D902" s="13"/>
    </row>
    <row r="903" customFormat="false" ht="15.75" hidden="false" customHeight="true" outlineLevel="0" collapsed="false">
      <c r="D903" s="13"/>
    </row>
    <row r="904" customFormat="false" ht="15.75" hidden="false" customHeight="true" outlineLevel="0" collapsed="false">
      <c r="D904" s="13"/>
    </row>
    <row r="905" customFormat="false" ht="15.75" hidden="false" customHeight="true" outlineLevel="0" collapsed="false">
      <c r="D905" s="13"/>
    </row>
    <row r="906" customFormat="false" ht="15.75" hidden="false" customHeight="true" outlineLevel="0" collapsed="false">
      <c r="D906" s="13"/>
    </row>
    <row r="907" customFormat="false" ht="15.75" hidden="false" customHeight="true" outlineLevel="0" collapsed="false">
      <c r="D907" s="13"/>
    </row>
    <row r="908" customFormat="false" ht="15.75" hidden="false" customHeight="true" outlineLevel="0" collapsed="false">
      <c r="D908" s="13"/>
    </row>
    <row r="909" customFormat="false" ht="15.75" hidden="false" customHeight="true" outlineLevel="0" collapsed="false">
      <c r="D909" s="13"/>
    </row>
    <row r="910" customFormat="false" ht="15.75" hidden="false" customHeight="true" outlineLevel="0" collapsed="false">
      <c r="D910" s="13"/>
    </row>
    <row r="911" customFormat="false" ht="15.75" hidden="false" customHeight="true" outlineLevel="0" collapsed="false">
      <c r="D911" s="13"/>
    </row>
    <row r="912" customFormat="false" ht="15.75" hidden="false" customHeight="true" outlineLevel="0" collapsed="false">
      <c r="D912" s="13"/>
    </row>
    <row r="913" customFormat="false" ht="15.75" hidden="false" customHeight="true" outlineLevel="0" collapsed="false">
      <c r="D913" s="13"/>
    </row>
    <row r="914" customFormat="false" ht="15.75" hidden="false" customHeight="true" outlineLevel="0" collapsed="false">
      <c r="D914" s="13"/>
    </row>
    <row r="915" customFormat="false" ht="15.75" hidden="false" customHeight="true" outlineLevel="0" collapsed="false">
      <c r="D915" s="13"/>
    </row>
    <row r="916" customFormat="false" ht="15.75" hidden="false" customHeight="true" outlineLevel="0" collapsed="false">
      <c r="D916" s="13"/>
    </row>
    <row r="917" customFormat="false" ht="15.75" hidden="false" customHeight="true" outlineLevel="0" collapsed="false">
      <c r="D917" s="13"/>
    </row>
    <row r="918" customFormat="false" ht="15.75" hidden="false" customHeight="true" outlineLevel="0" collapsed="false">
      <c r="D918" s="13"/>
    </row>
    <row r="919" customFormat="false" ht="15.75" hidden="false" customHeight="true" outlineLevel="0" collapsed="false">
      <c r="D919" s="13"/>
    </row>
    <row r="920" customFormat="false" ht="15.75" hidden="false" customHeight="true" outlineLevel="0" collapsed="false">
      <c r="D920" s="13"/>
    </row>
    <row r="921" customFormat="false" ht="15.75" hidden="false" customHeight="true" outlineLevel="0" collapsed="false">
      <c r="D921" s="13"/>
    </row>
    <row r="922" customFormat="false" ht="15.75" hidden="false" customHeight="true" outlineLevel="0" collapsed="false">
      <c r="D922" s="13"/>
    </row>
    <row r="923" customFormat="false" ht="15.75" hidden="false" customHeight="true" outlineLevel="0" collapsed="false">
      <c r="D923" s="13"/>
    </row>
    <row r="924" customFormat="false" ht="15.75" hidden="false" customHeight="true" outlineLevel="0" collapsed="false">
      <c r="D924" s="13"/>
    </row>
    <row r="925" customFormat="false" ht="15.75" hidden="false" customHeight="true" outlineLevel="0" collapsed="false">
      <c r="D925" s="13"/>
    </row>
    <row r="926" customFormat="false" ht="15.75" hidden="false" customHeight="true" outlineLevel="0" collapsed="false">
      <c r="D926" s="13"/>
    </row>
    <row r="927" customFormat="false" ht="15.75" hidden="false" customHeight="true" outlineLevel="0" collapsed="false">
      <c r="D927" s="13"/>
    </row>
    <row r="928" customFormat="false" ht="15.75" hidden="false" customHeight="true" outlineLevel="0" collapsed="false">
      <c r="D928" s="13"/>
    </row>
    <row r="929" customFormat="false" ht="15.75" hidden="false" customHeight="true" outlineLevel="0" collapsed="false">
      <c r="D929" s="13"/>
    </row>
    <row r="930" customFormat="false" ht="15.75" hidden="false" customHeight="true" outlineLevel="0" collapsed="false">
      <c r="D930" s="13"/>
    </row>
    <row r="931" customFormat="false" ht="15.75" hidden="false" customHeight="true" outlineLevel="0" collapsed="false">
      <c r="D931" s="13"/>
    </row>
    <row r="932" customFormat="false" ht="15.75" hidden="false" customHeight="true" outlineLevel="0" collapsed="false">
      <c r="D932" s="13"/>
    </row>
    <row r="933" customFormat="false" ht="15.75" hidden="false" customHeight="true" outlineLevel="0" collapsed="false">
      <c r="D933" s="13"/>
    </row>
    <row r="934" customFormat="false" ht="15.75" hidden="false" customHeight="true" outlineLevel="0" collapsed="false">
      <c r="D934" s="13"/>
    </row>
    <row r="935" customFormat="false" ht="15.75" hidden="false" customHeight="true" outlineLevel="0" collapsed="false">
      <c r="D935" s="13"/>
    </row>
    <row r="936" customFormat="false" ht="15.75" hidden="false" customHeight="true" outlineLevel="0" collapsed="false">
      <c r="D936" s="13"/>
    </row>
    <row r="937" customFormat="false" ht="15.75" hidden="false" customHeight="true" outlineLevel="0" collapsed="false">
      <c r="D937" s="13"/>
    </row>
    <row r="938" customFormat="false" ht="15.75" hidden="false" customHeight="true" outlineLevel="0" collapsed="false">
      <c r="D938" s="13"/>
    </row>
    <row r="939" customFormat="false" ht="15.75" hidden="false" customHeight="true" outlineLevel="0" collapsed="false">
      <c r="D939" s="13"/>
    </row>
    <row r="940" customFormat="false" ht="15.75" hidden="false" customHeight="true" outlineLevel="0" collapsed="false">
      <c r="D940" s="13"/>
    </row>
    <row r="941" customFormat="false" ht="15.75" hidden="false" customHeight="true" outlineLevel="0" collapsed="false">
      <c r="D941" s="13"/>
    </row>
    <row r="942" customFormat="false" ht="15.75" hidden="false" customHeight="true" outlineLevel="0" collapsed="false">
      <c r="D942" s="13"/>
    </row>
    <row r="943" customFormat="false" ht="15.75" hidden="false" customHeight="true" outlineLevel="0" collapsed="false">
      <c r="D943" s="13"/>
    </row>
    <row r="944" customFormat="false" ht="15.75" hidden="false" customHeight="true" outlineLevel="0" collapsed="false">
      <c r="D944" s="13"/>
    </row>
    <row r="945" customFormat="false" ht="15.75" hidden="false" customHeight="true" outlineLevel="0" collapsed="false">
      <c r="D945" s="13"/>
    </row>
    <row r="946" customFormat="false" ht="15.75" hidden="false" customHeight="true" outlineLevel="0" collapsed="false">
      <c r="D946" s="13"/>
    </row>
    <row r="947" customFormat="false" ht="15.75" hidden="false" customHeight="true" outlineLevel="0" collapsed="false">
      <c r="D947" s="13"/>
    </row>
    <row r="948" customFormat="false" ht="15.75" hidden="false" customHeight="true" outlineLevel="0" collapsed="false">
      <c r="D948" s="13"/>
    </row>
    <row r="949" customFormat="false" ht="15.75" hidden="false" customHeight="true" outlineLevel="0" collapsed="false">
      <c r="D949" s="13"/>
    </row>
    <row r="950" customFormat="false" ht="15.75" hidden="false" customHeight="true" outlineLevel="0" collapsed="false">
      <c r="D950" s="13"/>
    </row>
    <row r="951" customFormat="false" ht="15.75" hidden="false" customHeight="true" outlineLevel="0" collapsed="false">
      <c r="D951" s="13"/>
    </row>
    <row r="952" customFormat="false" ht="15.75" hidden="false" customHeight="true" outlineLevel="0" collapsed="false">
      <c r="D952" s="13"/>
    </row>
    <row r="953" customFormat="false" ht="15.75" hidden="false" customHeight="true" outlineLevel="0" collapsed="false">
      <c r="D953" s="13"/>
    </row>
    <row r="954" customFormat="false" ht="15.75" hidden="false" customHeight="true" outlineLevel="0" collapsed="false">
      <c r="D954" s="13"/>
    </row>
    <row r="955" customFormat="false" ht="15.75" hidden="false" customHeight="true" outlineLevel="0" collapsed="false">
      <c r="D955" s="13"/>
    </row>
    <row r="956" customFormat="false" ht="15.75" hidden="false" customHeight="true" outlineLevel="0" collapsed="false">
      <c r="D956" s="13"/>
    </row>
    <row r="957" customFormat="false" ht="15.75" hidden="false" customHeight="true" outlineLevel="0" collapsed="false">
      <c r="D957" s="13"/>
    </row>
    <row r="958" customFormat="false" ht="15.75" hidden="false" customHeight="true" outlineLevel="0" collapsed="false">
      <c r="D958" s="13"/>
    </row>
    <row r="959" customFormat="false" ht="15.75" hidden="false" customHeight="true" outlineLevel="0" collapsed="false">
      <c r="D959" s="13"/>
    </row>
    <row r="960" customFormat="false" ht="15.75" hidden="false" customHeight="true" outlineLevel="0" collapsed="false">
      <c r="D960" s="13"/>
    </row>
    <row r="961" customFormat="false" ht="15.75" hidden="false" customHeight="true" outlineLevel="0" collapsed="false">
      <c r="D961" s="13"/>
    </row>
    <row r="962" customFormat="false" ht="15.75" hidden="false" customHeight="true" outlineLevel="0" collapsed="false">
      <c r="D962" s="13"/>
    </row>
    <row r="963" customFormat="false" ht="15.75" hidden="false" customHeight="true" outlineLevel="0" collapsed="false">
      <c r="D963" s="13"/>
    </row>
    <row r="964" customFormat="false" ht="15.75" hidden="false" customHeight="true" outlineLevel="0" collapsed="false">
      <c r="D964" s="13"/>
    </row>
    <row r="965" customFormat="false" ht="15.75" hidden="false" customHeight="true" outlineLevel="0" collapsed="false">
      <c r="D965" s="13"/>
    </row>
    <row r="966" customFormat="false" ht="15.75" hidden="false" customHeight="true" outlineLevel="0" collapsed="false">
      <c r="D966" s="13"/>
    </row>
    <row r="967" customFormat="false" ht="15.75" hidden="false" customHeight="true" outlineLevel="0" collapsed="false">
      <c r="D967" s="13"/>
    </row>
    <row r="968" customFormat="false" ht="15.75" hidden="false" customHeight="true" outlineLevel="0" collapsed="false">
      <c r="D968" s="13"/>
    </row>
    <row r="969" customFormat="false" ht="15.75" hidden="false" customHeight="true" outlineLevel="0" collapsed="false">
      <c r="D969" s="13"/>
    </row>
    <row r="970" customFormat="false" ht="15.75" hidden="false" customHeight="true" outlineLevel="0" collapsed="false">
      <c r="D970" s="13"/>
    </row>
    <row r="971" customFormat="false" ht="15.75" hidden="false" customHeight="true" outlineLevel="0" collapsed="false">
      <c r="D971" s="13"/>
    </row>
    <row r="972" customFormat="false" ht="15.75" hidden="false" customHeight="true" outlineLevel="0" collapsed="false">
      <c r="D972" s="13"/>
    </row>
    <row r="973" customFormat="false" ht="15.75" hidden="false" customHeight="true" outlineLevel="0" collapsed="false">
      <c r="D973" s="13"/>
    </row>
    <row r="974" customFormat="false" ht="15.75" hidden="false" customHeight="true" outlineLevel="0" collapsed="false">
      <c r="D974" s="13"/>
    </row>
    <row r="975" customFormat="false" ht="15.75" hidden="false" customHeight="true" outlineLevel="0" collapsed="false">
      <c r="D975" s="13"/>
    </row>
    <row r="976" customFormat="false" ht="15.75" hidden="false" customHeight="true" outlineLevel="0" collapsed="false">
      <c r="D976" s="13"/>
    </row>
    <row r="977" customFormat="false" ht="15.75" hidden="false" customHeight="true" outlineLevel="0" collapsed="false">
      <c r="D977" s="13"/>
    </row>
    <row r="978" customFormat="false" ht="15.75" hidden="false" customHeight="true" outlineLevel="0" collapsed="false">
      <c r="D978" s="13"/>
    </row>
    <row r="979" customFormat="false" ht="15.75" hidden="false" customHeight="true" outlineLevel="0" collapsed="false">
      <c r="D979" s="13"/>
    </row>
    <row r="980" customFormat="false" ht="15.75" hidden="false" customHeight="true" outlineLevel="0" collapsed="false">
      <c r="D980" s="13"/>
    </row>
    <row r="981" customFormat="false" ht="15.75" hidden="false" customHeight="true" outlineLevel="0" collapsed="false">
      <c r="D981" s="13"/>
    </row>
    <row r="982" customFormat="false" ht="15.75" hidden="false" customHeight="true" outlineLevel="0" collapsed="false">
      <c r="D982" s="13"/>
    </row>
    <row r="983" customFormat="false" ht="15.75" hidden="false" customHeight="true" outlineLevel="0" collapsed="false">
      <c r="D983" s="13"/>
    </row>
    <row r="984" customFormat="false" ht="15.75" hidden="false" customHeight="true" outlineLevel="0" collapsed="false">
      <c r="D984" s="13"/>
    </row>
    <row r="985" customFormat="false" ht="15.75" hidden="false" customHeight="true" outlineLevel="0" collapsed="false">
      <c r="D985" s="13"/>
    </row>
    <row r="986" customFormat="false" ht="15.75" hidden="false" customHeight="true" outlineLevel="0" collapsed="false">
      <c r="D986" s="13"/>
    </row>
    <row r="987" customFormat="false" ht="15.75" hidden="false" customHeight="true" outlineLevel="0" collapsed="false">
      <c r="D987" s="13"/>
    </row>
    <row r="988" customFormat="false" ht="15.75" hidden="false" customHeight="true" outlineLevel="0" collapsed="false">
      <c r="D988" s="13"/>
    </row>
    <row r="989" customFormat="false" ht="15.75" hidden="false" customHeight="true" outlineLevel="0" collapsed="false">
      <c r="D989" s="13"/>
    </row>
    <row r="990" customFormat="false" ht="15.75" hidden="false" customHeight="true" outlineLevel="0" collapsed="false">
      <c r="D990" s="13"/>
    </row>
    <row r="991" customFormat="false" ht="15.75" hidden="false" customHeight="true" outlineLevel="0" collapsed="false">
      <c r="D991" s="13"/>
    </row>
    <row r="992" customFormat="false" ht="15.75" hidden="false" customHeight="true" outlineLevel="0" collapsed="false">
      <c r="D992" s="13"/>
    </row>
    <row r="993" customFormat="false" ht="15.75" hidden="false" customHeight="true" outlineLevel="0" collapsed="false">
      <c r="D993" s="13"/>
    </row>
    <row r="994" customFormat="false" ht="15.75" hidden="false" customHeight="true" outlineLevel="0" collapsed="false">
      <c r="D994" s="13"/>
    </row>
    <row r="995" customFormat="false" ht="15.75" hidden="false" customHeight="true" outlineLevel="0" collapsed="false">
      <c r="D995" s="13"/>
    </row>
    <row r="996" customFormat="false" ht="15.75" hidden="false" customHeight="true" outlineLevel="0" collapsed="false">
      <c r="D996" s="13"/>
    </row>
    <row r="997" customFormat="false" ht="15.75" hidden="false" customHeight="true" outlineLevel="0" collapsed="false">
      <c r="D997" s="13"/>
    </row>
    <row r="998" customFormat="false" ht="15.75" hidden="false" customHeight="true" outlineLevel="0" collapsed="false">
      <c r="D998" s="13"/>
    </row>
    <row r="999" customFormat="false" ht="15.75" hidden="false" customHeight="true" outlineLevel="0" collapsed="false">
      <c r="D999" s="13"/>
    </row>
    <row r="1000" customFormat="false" ht="15.75" hidden="false" customHeight="true" outlineLevel="0" collapsed="false">
      <c r="D1000" s="13"/>
    </row>
  </sheetData>
  <autoFilter ref="A1:A51"/>
  <mergeCells count="1">
    <mergeCell ref="Q17:T1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BF7"/>
    <pageSetUpPr fitToPage="false"/>
  </sheetPr>
  <dimension ref="A1:V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1" width="28.67"/>
    <col collapsed="false" customWidth="true" hidden="false" outlineLevel="0" max="2" min="2" style="1" width="10.44"/>
    <col collapsed="false" customWidth="true" hidden="false" outlineLevel="0" max="3" min="3" style="1" width="8.67"/>
    <col collapsed="false" customWidth="true" hidden="false" outlineLevel="0" max="4" min="4" style="1" width="12.88"/>
    <col collapsed="false" customWidth="true" hidden="false" outlineLevel="0" max="11" min="5" style="1" width="8.67"/>
    <col collapsed="false" customWidth="true" hidden="false" outlineLevel="0" max="12" min="12" style="1" width="15.66"/>
    <col collapsed="false" customWidth="true" hidden="false" outlineLevel="0" max="13" min="13" style="1" width="12.44"/>
    <col collapsed="false" customWidth="true" hidden="false" outlineLevel="0" max="14" min="14" style="1" width="16.11"/>
    <col collapsed="false" customWidth="true" hidden="false" outlineLevel="0" max="15" min="15" style="1" width="8.67"/>
    <col collapsed="false" customWidth="true" hidden="false" outlineLevel="0" max="16" min="16" style="1" width="11.33"/>
    <col collapsed="false" customWidth="true" hidden="false" outlineLevel="0" max="17" min="17" style="1" width="11.89"/>
    <col collapsed="false" customWidth="true" hidden="false" outlineLevel="0" max="18" min="18" style="1" width="16.67"/>
    <col collapsed="false" customWidth="true" hidden="false" outlineLevel="0" max="19" min="19" style="1" width="18.88"/>
    <col collapsed="false" customWidth="true" hidden="false" outlineLevel="0" max="21" min="20" style="1" width="8.67"/>
    <col collapsed="false" customWidth="true" hidden="false" outlineLevel="0" max="22" min="22" style="1" width="12.33"/>
    <col collapsed="false" customWidth="true" hidden="false" outlineLevel="0" max="29" min="23" style="1" width="8.67"/>
  </cols>
  <sheetData>
    <row r="1" customFormat="false" ht="15" hidden="false" customHeight="false" outlineLevel="0" collapsed="false">
      <c r="A1" s="18" t="s">
        <v>148</v>
      </c>
      <c r="B1" s="18" t="s">
        <v>149</v>
      </c>
      <c r="C1" s="18" t="s">
        <v>150</v>
      </c>
      <c r="D1" s="18" t="s">
        <v>230</v>
      </c>
      <c r="E1" s="18" t="s">
        <v>152</v>
      </c>
      <c r="F1" s="18" t="s">
        <v>153</v>
      </c>
      <c r="G1" s="18" t="s">
        <v>150</v>
      </c>
      <c r="H1" s="18" t="s">
        <v>154</v>
      </c>
      <c r="I1" s="18" t="s">
        <v>155</v>
      </c>
      <c r="J1" s="18" t="s">
        <v>156</v>
      </c>
      <c r="K1" s="18" t="s">
        <v>157</v>
      </c>
      <c r="L1" s="72" t="s">
        <v>158</v>
      </c>
      <c r="M1" s="72" t="s">
        <v>159</v>
      </c>
      <c r="N1" s="72" t="s">
        <v>160</v>
      </c>
      <c r="O1" s="18" t="s">
        <v>118</v>
      </c>
      <c r="P1" s="4" t="n">
        <v>68</v>
      </c>
      <c r="R1" s="73" t="s">
        <v>161</v>
      </c>
    </row>
    <row r="2" customFormat="false" ht="15" hidden="false" customHeight="false" outlineLevel="0" collapsed="false">
      <c r="A2" s="74" t="s">
        <v>162</v>
      </c>
      <c r="B2" s="74" t="n">
        <v>1.24</v>
      </c>
      <c r="C2" s="74" t="n">
        <v>65</v>
      </c>
      <c r="D2" s="4" t="n">
        <v>133</v>
      </c>
      <c r="E2" s="43" t="n">
        <f aca="false">D2*S2</f>
        <v>798</v>
      </c>
      <c r="F2" s="43" t="n">
        <f aca="false">B2*E2</f>
        <v>989.52</v>
      </c>
      <c r="G2" s="43" t="n">
        <f aca="false">C2*E2/1000</f>
        <v>51.87</v>
      </c>
      <c r="H2" s="75" t="n">
        <f aca="false">F2/P1</f>
        <v>14.5517647058824</v>
      </c>
      <c r="I2" s="75" t="n">
        <f aca="false">G2/P1</f>
        <v>0.762794117647059</v>
      </c>
      <c r="J2" s="75" t="n">
        <f aca="false">F2*100/P4</f>
        <v>74.9636363636364</v>
      </c>
      <c r="K2" s="75" t="n">
        <f aca="false">G2*100/P5</f>
        <v>65.4924242424242</v>
      </c>
      <c r="L2" s="76" t="n">
        <f aca="false">(P4/B2)/S2</f>
        <v>177.41935483871</v>
      </c>
      <c r="M2" s="77" t="n">
        <f aca="false">(L2*S2*C2)/1000</f>
        <v>69.1935483870968</v>
      </c>
      <c r="N2" s="77" t="n">
        <f aca="false">P5-G2</f>
        <v>27.33</v>
      </c>
      <c r="O2" s="18" t="s">
        <v>119</v>
      </c>
      <c r="P2" s="4" t="n">
        <v>1.62</v>
      </c>
      <c r="R2" s="89" t="s">
        <v>231</v>
      </c>
      <c r="S2" s="4" t="n">
        <v>6</v>
      </c>
    </row>
    <row r="3" customFormat="false" ht="15" hidden="false" customHeight="false" outlineLevel="0" collapsed="false">
      <c r="A3" s="74" t="s">
        <v>164</v>
      </c>
      <c r="B3" s="74" t="n">
        <v>1</v>
      </c>
      <c r="C3" s="74" t="n">
        <v>38</v>
      </c>
      <c r="D3" s="4"/>
      <c r="E3" s="43" t="n">
        <f aca="false">D3*S2</f>
        <v>0</v>
      </c>
      <c r="F3" s="43" t="n">
        <f aca="false">B3*E3</f>
        <v>0</v>
      </c>
      <c r="G3" s="43" t="n">
        <f aca="false">C3*E3/1000</f>
        <v>0</v>
      </c>
      <c r="H3" s="75" t="n">
        <f aca="false">F3/P1</f>
        <v>0</v>
      </c>
      <c r="I3" s="75" t="n">
        <f aca="false">G3/P1</f>
        <v>0</v>
      </c>
      <c r="J3" s="75" t="n">
        <f aca="false">F3*100/P4</f>
        <v>0</v>
      </c>
      <c r="K3" s="75" t="n">
        <f aca="false">G3*100/P5</f>
        <v>0</v>
      </c>
      <c r="L3" s="76" t="n">
        <f aca="false">(P4/B3)/S2</f>
        <v>220</v>
      </c>
      <c r="M3" s="77" t="n">
        <f aca="false">(L3*S2*C3)/1000</f>
        <v>50.16</v>
      </c>
      <c r="N3" s="77" t="n">
        <f aca="false">P5-G3</f>
        <v>79.2</v>
      </c>
    </row>
    <row r="4" customFormat="false" ht="15" hidden="false" customHeight="false" outlineLevel="0" collapsed="false">
      <c r="A4" s="74" t="s">
        <v>165</v>
      </c>
      <c r="B4" s="74" t="n">
        <v>1</v>
      </c>
      <c r="C4" s="74" t="n">
        <v>38</v>
      </c>
      <c r="D4" s="4"/>
      <c r="E4" s="43" t="n">
        <f aca="false">D4*S2</f>
        <v>0</v>
      </c>
      <c r="F4" s="43" t="n">
        <f aca="false">B4*E4</f>
        <v>0</v>
      </c>
      <c r="G4" s="43" t="n">
        <f aca="false">C4*E4/1000</f>
        <v>0</v>
      </c>
      <c r="H4" s="75" t="n">
        <f aca="false">F4/P1</f>
        <v>0</v>
      </c>
      <c r="I4" s="75" t="n">
        <f aca="false">G4/P1</f>
        <v>0</v>
      </c>
      <c r="J4" s="75" t="n">
        <f aca="false">F4*100/P4</f>
        <v>0</v>
      </c>
      <c r="K4" s="75" t="n">
        <f aca="false">G4*100/P5</f>
        <v>0</v>
      </c>
      <c r="L4" s="76" t="n">
        <f aca="false">(P4/B4)/S2</f>
        <v>220</v>
      </c>
      <c r="M4" s="77" t="n">
        <f aca="false">(L4*S2*C4)/1000</f>
        <v>50.16</v>
      </c>
      <c r="N4" s="77" t="n">
        <f aca="false">P5-G4</f>
        <v>79.2</v>
      </c>
      <c r="O4" s="18" t="s">
        <v>166</v>
      </c>
      <c r="P4" s="4" t="n">
        <v>1320</v>
      </c>
    </row>
    <row r="5" customFormat="false" ht="15" hidden="false" customHeight="false" outlineLevel="0" collapsed="false">
      <c r="A5" s="74" t="s">
        <v>167</v>
      </c>
      <c r="B5" s="74" t="n">
        <v>1</v>
      </c>
      <c r="C5" s="74" t="n">
        <v>38</v>
      </c>
      <c r="D5" s="4"/>
      <c r="E5" s="43" t="n">
        <f aca="false">D5*S2</f>
        <v>0</v>
      </c>
      <c r="F5" s="43" t="n">
        <f aca="false">B5*E5</f>
        <v>0</v>
      </c>
      <c r="G5" s="43" t="n">
        <f aca="false">C5*E5/1000</f>
        <v>0</v>
      </c>
      <c r="H5" s="75" t="n">
        <f aca="false">F5/P4</f>
        <v>0</v>
      </c>
      <c r="I5" s="75" t="n">
        <f aca="false">G5/P1</f>
        <v>0</v>
      </c>
      <c r="J5" s="75" t="n">
        <f aca="false">F5*100/P4</f>
        <v>0</v>
      </c>
      <c r="K5" s="75" t="n">
        <f aca="false">G5*100/P5</f>
        <v>0</v>
      </c>
      <c r="L5" s="76" t="n">
        <f aca="false">(P4/B5)/S2</f>
        <v>220</v>
      </c>
      <c r="M5" s="77" t="n">
        <f aca="false">(L5*S2*C5)/1000</f>
        <v>50.16</v>
      </c>
      <c r="N5" s="77" t="n">
        <f aca="false">P5-G5</f>
        <v>79.2</v>
      </c>
      <c r="O5" s="18" t="s">
        <v>168</v>
      </c>
      <c r="P5" s="4" t="n">
        <v>79.2</v>
      </c>
    </row>
    <row r="6" customFormat="false" ht="15" hidden="false" customHeight="false" outlineLevel="0" collapsed="false">
      <c r="A6" s="74" t="s">
        <v>169</v>
      </c>
      <c r="B6" s="74" t="n">
        <v>1.2</v>
      </c>
      <c r="C6" s="74" t="n">
        <v>60</v>
      </c>
      <c r="D6" s="4"/>
      <c r="E6" s="43" t="n">
        <f aca="false">D6*S2</f>
        <v>0</v>
      </c>
      <c r="F6" s="43" t="n">
        <f aca="false">B6*E6</f>
        <v>0</v>
      </c>
      <c r="G6" s="43" t="n">
        <f aca="false">C6*E6/1000</f>
        <v>0</v>
      </c>
      <c r="H6" s="75" t="n">
        <f aca="false">F6/P5</f>
        <v>0</v>
      </c>
      <c r="I6" s="75" t="n">
        <f aca="false">G6/P1</f>
        <v>0</v>
      </c>
      <c r="J6" s="75" t="n">
        <f aca="false">F6*100/P4</f>
        <v>0</v>
      </c>
      <c r="K6" s="75" t="n">
        <f aca="false">G6*100/P5</f>
        <v>0</v>
      </c>
      <c r="L6" s="76" t="n">
        <f aca="false">(P4/B6)/S2</f>
        <v>183.333333333333</v>
      </c>
      <c r="M6" s="77" t="n">
        <f aca="false">(L6*S2*C6)/1000</f>
        <v>66</v>
      </c>
      <c r="N6" s="77" t="n">
        <f aca="false">P5-G6</f>
        <v>79.2</v>
      </c>
    </row>
    <row r="7" customFormat="false" ht="15" hidden="false" customHeight="false" outlineLevel="0" collapsed="false">
      <c r="A7" s="74" t="s">
        <v>170</v>
      </c>
      <c r="B7" s="74" t="n">
        <v>1</v>
      </c>
      <c r="C7" s="74" t="n">
        <v>40</v>
      </c>
      <c r="D7" s="4"/>
      <c r="E7" s="43" t="n">
        <f aca="false">D7*S2</f>
        <v>0</v>
      </c>
      <c r="F7" s="43" t="n">
        <f aca="false">B7*E7</f>
        <v>0</v>
      </c>
      <c r="G7" s="43" t="n">
        <f aca="false">C7*E7/1000</f>
        <v>0</v>
      </c>
      <c r="H7" s="75" t="n">
        <f aca="false">F7/P1</f>
        <v>0</v>
      </c>
      <c r="I7" s="75" t="n">
        <f aca="false">G7/P1</f>
        <v>0</v>
      </c>
      <c r="J7" s="75" t="n">
        <f aca="false">F7*100/P4</f>
        <v>0</v>
      </c>
      <c r="K7" s="75" t="n">
        <f aca="false">G7*100/P5</f>
        <v>0</v>
      </c>
      <c r="L7" s="76" t="n">
        <f aca="false">(P4/B7)/S2</f>
        <v>220</v>
      </c>
      <c r="M7" s="77" t="n">
        <f aca="false">(L7*S2*C7)/1000</f>
        <v>52.8</v>
      </c>
      <c r="N7" s="77" t="n">
        <f aca="false">P5-G7</f>
        <v>79.2</v>
      </c>
    </row>
    <row r="8" customFormat="false" ht="15" hidden="false" customHeight="false" outlineLevel="0" collapsed="false">
      <c r="A8" s="74" t="s">
        <v>171</v>
      </c>
      <c r="B8" s="74" t="n">
        <v>1.2</v>
      </c>
      <c r="C8" s="74" t="n">
        <v>48</v>
      </c>
      <c r="D8" s="4"/>
      <c r="E8" s="43" t="n">
        <f aca="false">D8*S2</f>
        <v>0</v>
      </c>
      <c r="F8" s="43" t="n">
        <f aca="false">B8*E8</f>
        <v>0</v>
      </c>
      <c r="G8" s="43" t="n">
        <f aca="false">C8*E8/1000</f>
        <v>0</v>
      </c>
      <c r="H8" s="75" t="n">
        <f aca="false">F8/P1</f>
        <v>0</v>
      </c>
      <c r="I8" s="75" t="n">
        <f aca="false">G8/P1</f>
        <v>0</v>
      </c>
      <c r="J8" s="75" t="n">
        <f aca="false">F8*100/P4</f>
        <v>0</v>
      </c>
      <c r="K8" s="75" t="n">
        <f aca="false">G8*100/P5</f>
        <v>0</v>
      </c>
      <c r="L8" s="76" t="n">
        <f aca="false">(P4/B8)/S2</f>
        <v>183.333333333333</v>
      </c>
      <c r="M8" s="77" t="n">
        <f aca="false">(L8*S2*C8)/1000</f>
        <v>52.8</v>
      </c>
      <c r="N8" s="77" t="n">
        <f aca="false">P5-G8</f>
        <v>79.2</v>
      </c>
      <c r="R8" s="78" t="s">
        <v>232</v>
      </c>
      <c r="S8" s="78"/>
      <c r="T8" s="78"/>
    </row>
    <row r="9" customFormat="false" ht="15" hidden="false" customHeight="false" outlineLevel="0" collapsed="false">
      <c r="A9" s="74" t="s">
        <v>173</v>
      </c>
      <c r="B9" s="74" t="n">
        <v>1</v>
      </c>
      <c r="C9" s="74" t="n">
        <v>40</v>
      </c>
      <c r="D9" s="4"/>
      <c r="E9" s="43" t="n">
        <f aca="false">D9*S2</f>
        <v>0</v>
      </c>
      <c r="F9" s="43" t="n">
        <f aca="false">B9*E9</f>
        <v>0</v>
      </c>
      <c r="G9" s="43" t="n">
        <f aca="false">C9*E9/1000</f>
        <v>0</v>
      </c>
      <c r="H9" s="75" t="n">
        <f aca="false">F9/P1</f>
        <v>0</v>
      </c>
      <c r="I9" s="75" t="n">
        <f aca="false">G9/P1</f>
        <v>0</v>
      </c>
      <c r="J9" s="75" t="n">
        <f aca="false">F9*100/P4</f>
        <v>0</v>
      </c>
      <c r="K9" s="75" t="n">
        <f aca="false">G9*100/P5</f>
        <v>0</v>
      </c>
      <c r="L9" s="76" t="n">
        <f aca="false">(P4/B9)/S2</f>
        <v>220</v>
      </c>
      <c r="M9" s="77" t="n">
        <f aca="false">(L9*S2*C9)/1000</f>
        <v>52.8</v>
      </c>
      <c r="N9" s="77" t="n">
        <f aca="false">P5-G9</f>
        <v>79.2</v>
      </c>
    </row>
    <row r="10" customFormat="false" ht="16.15" hidden="false" customHeight="false" outlineLevel="0" collapsed="false">
      <c r="A10" s="74" t="s">
        <v>174</v>
      </c>
      <c r="B10" s="74" t="n">
        <v>1.2</v>
      </c>
      <c r="C10" s="74" t="n">
        <v>44</v>
      </c>
      <c r="D10" s="4"/>
      <c r="E10" s="43" t="n">
        <f aca="false">D10*S2</f>
        <v>0</v>
      </c>
      <c r="F10" s="43" t="n">
        <f aca="false">B10*E10</f>
        <v>0</v>
      </c>
      <c r="G10" s="43" t="n">
        <f aca="false">C10*E10/1000</f>
        <v>0</v>
      </c>
      <c r="H10" s="75" t="n">
        <f aca="false">F10/P1</f>
        <v>0</v>
      </c>
      <c r="I10" s="75" t="n">
        <f aca="false">G10/P1</f>
        <v>0</v>
      </c>
      <c r="J10" s="75" t="n">
        <f aca="false">F10*100/P4</f>
        <v>0</v>
      </c>
      <c r="K10" s="75" t="n">
        <f aca="false">G10*100/P5</f>
        <v>0</v>
      </c>
      <c r="L10" s="76" t="n">
        <f aca="false">(P4/B10)/S2</f>
        <v>183.333333333333</v>
      </c>
      <c r="M10" s="77" t="n">
        <f aca="false">(L10*S2*C10)/1000</f>
        <v>48.4</v>
      </c>
      <c r="N10" s="77" t="n">
        <f aca="false">P5-G10</f>
        <v>79.2</v>
      </c>
      <c r="R10" s="79" t="s">
        <v>175</v>
      </c>
      <c r="S10" s="79" t="s">
        <v>176</v>
      </c>
      <c r="T10" s="79" t="s">
        <v>177</v>
      </c>
      <c r="U10" s="79"/>
      <c r="V10" s="79" t="s">
        <v>178</v>
      </c>
    </row>
    <row r="11" customFormat="false" ht="15" hidden="false" customHeight="false" outlineLevel="0" collapsed="false">
      <c r="A11" s="74" t="s">
        <v>179</v>
      </c>
      <c r="B11" s="74" t="n">
        <v>1.23</v>
      </c>
      <c r="C11" s="74" t="n">
        <v>43</v>
      </c>
      <c r="D11" s="4"/>
      <c r="E11" s="43" t="n">
        <f aca="false">D11*S2</f>
        <v>0</v>
      </c>
      <c r="F11" s="43" t="n">
        <f aca="false">B11*E11</f>
        <v>0</v>
      </c>
      <c r="G11" s="43" t="n">
        <f aca="false">C11*E11/1000</f>
        <v>0</v>
      </c>
      <c r="H11" s="75" t="n">
        <f aca="false">F11/P1</f>
        <v>0</v>
      </c>
      <c r="I11" s="75" t="n">
        <f aca="false">G11/P1</f>
        <v>0</v>
      </c>
      <c r="J11" s="75" t="n">
        <f aca="false">F11*100/P4</f>
        <v>0</v>
      </c>
      <c r="K11" s="75" t="n">
        <f aca="false">G11*100/P5</f>
        <v>0</v>
      </c>
      <c r="L11" s="76" t="n">
        <f aca="false">(P4/B11)/S2</f>
        <v>178.861788617886</v>
      </c>
      <c r="M11" s="77" t="n">
        <f aca="false">(L11*S2*C11)/1000</f>
        <v>46.1463414634146</v>
      </c>
      <c r="N11" s="77" t="n">
        <f aca="false">P11-G11</f>
        <v>0</v>
      </c>
      <c r="Q11" s="80" t="s">
        <v>180</v>
      </c>
      <c r="R11" s="81" t="n">
        <f aca="false">P4*25/100</f>
        <v>330</v>
      </c>
      <c r="S11" s="82" t="n">
        <f aca="false">R11/1.5/S2</f>
        <v>36.6666666666667</v>
      </c>
      <c r="T11" s="82" t="n">
        <f aca="false">R11/1.2/S2</f>
        <v>45.8333333333333</v>
      </c>
      <c r="U11" s="81"/>
      <c r="V11" s="83" t="n">
        <f aca="false">R11/S2</f>
        <v>55</v>
      </c>
    </row>
    <row r="12" customFormat="false" ht="15" hidden="false" customHeight="false" outlineLevel="0" collapsed="false">
      <c r="A12" s="74" t="s">
        <v>181</v>
      </c>
      <c r="B12" s="74" t="n">
        <v>1.21</v>
      </c>
      <c r="C12" s="74" t="n">
        <v>44</v>
      </c>
      <c r="D12" s="4"/>
      <c r="E12" s="43" t="n">
        <f aca="false">D12*S2</f>
        <v>0</v>
      </c>
      <c r="F12" s="43" t="n">
        <f aca="false">B12*E12</f>
        <v>0</v>
      </c>
      <c r="G12" s="43" t="n">
        <f aca="false">C12*E12/1000</f>
        <v>0</v>
      </c>
      <c r="H12" s="75" t="n">
        <f aca="false">F12/P1</f>
        <v>0</v>
      </c>
      <c r="I12" s="75" t="n">
        <f aca="false">G12/P1</f>
        <v>0</v>
      </c>
      <c r="J12" s="75" t="n">
        <f aca="false">F12*100/P4</f>
        <v>0</v>
      </c>
      <c r="K12" s="75" t="n">
        <f aca="false">G12*100/P5</f>
        <v>0</v>
      </c>
      <c r="L12" s="76" t="n">
        <f aca="false">(P4/B12)/S2</f>
        <v>181.818181818182</v>
      </c>
      <c r="M12" s="77" t="n">
        <f aca="false">(L12*S2*C12)/1000</f>
        <v>48</v>
      </c>
      <c r="N12" s="77" t="n">
        <f aca="false">P5-G12</f>
        <v>79.2</v>
      </c>
      <c r="Q12" s="84" t="s">
        <v>182</v>
      </c>
      <c r="R12" s="81" t="n">
        <f aca="false">P4*50/100</f>
        <v>660</v>
      </c>
      <c r="S12" s="82" t="n">
        <f aca="false">R12/1.5/S2</f>
        <v>73.3333333333333</v>
      </c>
      <c r="T12" s="82" t="n">
        <f aca="false">R12/1.2/S2</f>
        <v>91.6666666666667</v>
      </c>
      <c r="U12" s="81"/>
      <c r="V12" s="83" t="n">
        <f aca="false">R12/S2</f>
        <v>110</v>
      </c>
    </row>
    <row r="13" customFormat="false" ht="15" hidden="false" customHeight="false" outlineLevel="0" collapsed="false">
      <c r="A13" s="74" t="s">
        <v>183</v>
      </c>
      <c r="B13" s="74" t="n">
        <v>1.24</v>
      </c>
      <c r="C13" s="74" t="n">
        <v>44</v>
      </c>
      <c r="D13" s="4"/>
      <c r="E13" s="43" t="n">
        <f aca="false">D13*S2</f>
        <v>0</v>
      </c>
      <c r="F13" s="43" t="n">
        <f aca="false">B13*E13</f>
        <v>0</v>
      </c>
      <c r="G13" s="43" t="n">
        <f aca="false">C13*E13/1000</f>
        <v>0</v>
      </c>
      <c r="H13" s="75" t="n">
        <f aca="false">F13/P1</f>
        <v>0</v>
      </c>
      <c r="I13" s="75" t="n">
        <f aca="false">G13/P1</f>
        <v>0</v>
      </c>
      <c r="J13" s="75" t="n">
        <f aca="false">F13*100/P4</f>
        <v>0</v>
      </c>
      <c r="K13" s="75" t="n">
        <f aca="false">G13*100/P5</f>
        <v>0</v>
      </c>
      <c r="L13" s="76" t="n">
        <f aca="false">(P4/B13)/S2</f>
        <v>177.41935483871</v>
      </c>
      <c r="M13" s="77" t="n">
        <f aca="false">(L13*S2*C13)/1000</f>
        <v>46.8387096774194</v>
      </c>
      <c r="N13" s="77" t="n">
        <f aca="false">P5-G13</f>
        <v>79.2</v>
      </c>
      <c r="Q13" s="85" t="s">
        <v>184</v>
      </c>
      <c r="R13" s="81" t="n">
        <f aca="false">P4*75/100</f>
        <v>990</v>
      </c>
      <c r="S13" s="86" t="n">
        <f aca="false">R13/1.5/S2</f>
        <v>110</v>
      </c>
      <c r="T13" s="86" t="n">
        <f aca="false">R13/1.2/S2</f>
        <v>137.5</v>
      </c>
      <c r="U13" s="81"/>
      <c r="V13" s="83" t="n">
        <f aca="false">R13/S2</f>
        <v>165</v>
      </c>
    </row>
    <row r="14" customFormat="false" ht="15" hidden="false" customHeight="false" outlineLevel="0" collapsed="false">
      <c r="A14" s="74" t="s">
        <v>185</v>
      </c>
      <c r="B14" s="74" t="n">
        <v>1.2</v>
      </c>
      <c r="C14" s="74" t="n">
        <v>46</v>
      </c>
      <c r="D14" s="4"/>
      <c r="E14" s="43" t="n">
        <f aca="false">D14*S2</f>
        <v>0</v>
      </c>
      <c r="F14" s="43" t="n">
        <f aca="false">B14*E14</f>
        <v>0</v>
      </c>
      <c r="G14" s="43" t="n">
        <f aca="false">C14*E14/1000</f>
        <v>0</v>
      </c>
      <c r="H14" s="75" t="n">
        <f aca="false">F14/P1</f>
        <v>0</v>
      </c>
      <c r="I14" s="75" t="n">
        <f aca="false">G14/P1</f>
        <v>0</v>
      </c>
      <c r="J14" s="75" t="n">
        <f aca="false">F14*100/P4</f>
        <v>0</v>
      </c>
      <c r="K14" s="75" t="n">
        <f aca="false">G14*100/P5</f>
        <v>0</v>
      </c>
      <c r="L14" s="76" t="n">
        <f aca="false">(P4/B14)/S2</f>
        <v>183.333333333333</v>
      </c>
      <c r="M14" s="77" t="n">
        <f aca="false">(L14*S2*C14)/1000</f>
        <v>50.6</v>
      </c>
      <c r="N14" s="77" t="n">
        <f aca="false">P5-G14</f>
        <v>79.2</v>
      </c>
      <c r="Q14" s="87" t="s">
        <v>186</v>
      </c>
      <c r="R14" s="81" t="n">
        <f aca="false">P4</f>
        <v>1320</v>
      </c>
      <c r="S14" s="86" t="n">
        <f aca="false">R14/1.5/S2</f>
        <v>146.666666666667</v>
      </c>
      <c r="T14" s="86" t="n">
        <f aca="false">R14/1.2/S2</f>
        <v>183.333333333333</v>
      </c>
      <c r="U14" s="81"/>
      <c r="V14" s="83" t="n">
        <f aca="false">R14/S2</f>
        <v>220</v>
      </c>
    </row>
    <row r="15" customFormat="false" ht="15" hidden="false" customHeight="false" outlineLevel="0" collapsed="false">
      <c r="A15" s="74" t="s">
        <v>187</v>
      </c>
      <c r="B15" s="74" t="n">
        <v>1.2</v>
      </c>
      <c r="C15" s="74" t="n">
        <v>45</v>
      </c>
      <c r="D15" s="4"/>
      <c r="E15" s="43" t="n">
        <f aca="false">D15*S2</f>
        <v>0</v>
      </c>
      <c r="F15" s="43" t="n">
        <f aca="false">B15*E15</f>
        <v>0</v>
      </c>
      <c r="G15" s="43" t="n">
        <f aca="false">C15*E15/1000</f>
        <v>0</v>
      </c>
      <c r="H15" s="75" t="n">
        <f aca="false">F15/P1</f>
        <v>0</v>
      </c>
      <c r="I15" s="75" t="n">
        <f aca="false">G15/P1</f>
        <v>0</v>
      </c>
      <c r="J15" s="75" t="n">
        <f aca="false">F15*100/P4</f>
        <v>0</v>
      </c>
      <c r="K15" s="75" t="n">
        <f aca="false">G15*100/P5</f>
        <v>0</v>
      </c>
      <c r="L15" s="76" t="n">
        <f aca="false">(P4/B15)/S2</f>
        <v>183.333333333333</v>
      </c>
      <c r="M15" s="77" t="n">
        <f aca="false">(L15*S2*C15)/1000</f>
        <v>49.5</v>
      </c>
      <c r="N15" s="77" t="n">
        <f aca="false">P5-G15</f>
        <v>79.2</v>
      </c>
    </row>
    <row r="16" customFormat="false" ht="15" hidden="false" customHeight="false" outlineLevel="0" collapsed="false">
      <c r="A16" s="74" t="s">
        <v>188</v>
      </c>
      <c r="B16" s="74" t="n">
        <v>1.2</v>
      </c>
      <c r="C16" s="74" t="n">
        <v>46</v>
      </c>
      <c r="D16" s="4"/>
      <c r="E16" s="43" t="n">
        <f aca="false">D16*S2</f>
        <v>0</v>
      </c>
      <c r="F16" s="43" t="n">
        <f aca="false">B16*E16</f>
        <v>0</v>
      </c>
      <c r="G16" s="43" t="n">
        <f aca="false">C16*E16/1000</f>
        <v>0</v>
      </c>
      <c r="H16" s="75" t="n">
        <f aca="false">F16/P1</f>
        <v>0</v>
      </c>
      <c r="I16" s="75" t="n">
        <f aca="false">G16/P1</f>
        <v>0</v>
      </c>
      <c r="J16" s="75" t="n">
        <f aca="false">F16*100/P4</f>
        <v>0</v>
      </c>
      <c r="K16" s="75" t="n">
        <f aca="false">G16*100/P5</f>
        <v>0</v>
      </c>
      <c r="L16" s="76" t="n">
        <f aca="false">(P4/B16)/S2</f>
        <v>183.333333333333</v>
      </c>
      <c r="M16" s="77" t="n">
        <f aca="false">(L16*S2*C16)/1000</f>
        <v>50.6</v>
      </c>
      <c r="N16" s="77" t="n">
        <f aca="false">P5-G16</f>
        <v>79.2</v>
      </c>
    </row>
    <row r="17" customFormat="false" ht="16.15" hidden="false" customHeight="false" outlineLevel="0" collapsed="false">
      <c r="A17" s="74" t="s">
        <v>189</v>
      </c>
      <c r="B17" s="74" t="n">
        <v>1.5</v>
      </c>
      <c r="C17" s="74" t="n">
        <v>56</v>
      </c>
      <c r="D17" s="4"/>
      <c r="E17" s="43" t="n">
        <f aca="false">D17*S2</f>
        <v>0</v>
      </c>
      <c r="F17" s="43" t="n">
        <f aca="false">B17*E17</f>
        <v>0</v>
      </c>
      <c r="G17" s="43" t="n">
        <f aca="false">C17*E17/1000</f>
        <v>0</v>
      </c>
      <c r="H17" s="75" t="n">
        <f aca="false">F17/P1</f>
        <v>0</v>
      </c>
      <c r="I17" s="75" t="n">
        <f aca="false">G17/P1</f>
        <v>0</v>
      </c>
      <c r="J17" s="75" t="n">
        <f aca="false">F17*100/P4</f>
        <v>0</v>
      </c>
      <c r="K17" s="75" t="n">
        <f aca="false">G17*100/P5</f>
        <v>0</v>
      </c>
      <c r="L17" s="76" t="n">
        <f aca="false">(P4/B17)/S2</f>
        <v>146.666666666667</v>
      </c>
      <c r="M17" s="77" t="n">
        <f aca="false">(L17*S2*C17)/1000</f>
        <v>49.28</v>
      </c>
      <c r="N17" s="77" t="n">
        <f aca="false">P5-G17</f>
        <v>79.2</v>
      </c>
      <c r="Q17" s="88" t="s">
        <v>190</v>
      </c>
      <c r="R17" s="88"/>
      <c r="S17" s="88"/>
      <c r="T17" s="88"/>
      <c r="U17" s="4" t="n">
        <v>26</v>
      </c>
      <c r="V17" s="13" t="s">
        <v>191</v>
      </c>
    </row>
    <row r="18" customFormat="false" ht="15" hidden="false" customHeight="false" outlineLevel="0" collapsed="false">
      <c r="A18" s="74" t="s">
        <v>192</v>
      </c>
      <c r="B18" s="74" t="n">
        <v>1.5</v>
      </c>
      <c r="C18" s="74" t="n">
        <v>75</v>
      </c>
      <c r="D18" s="4" t="n">
        <v>110</v>
      </c>
      <c r="E18" s="43" t="n">
        <f aca="false">D18*S2</f>
        <v>660</v>
      </c>
      <c r="F18" s="43" t="n">
        <f aca="false">B18*E18</f>
        <v>990</v>
      </c>
      <c r="G18" s="43" t="n">
        <f aca="false">C18*E18/1000</f>
        <v>49.5</v>
      </c>
      <c r="H18" s="75" t="n">
        <f aca="false">F18/P1</f>
        <v>14.5588235294118</v>
      </c>
      <c r="I18" s="75" t="n">
        <f aca="false">G18/P1</f>
        <v>0.727941176470588</v>
      </c>
      <c r="J18" s="75" t="n">
        <f aca="false">F18*100/P4</f>
        <v>75</v>
      </c>
      <c r="K18" s="75" t="n">
        <f aca="false">G18*100/P5</f>
        <v>62.5</v>
      </c>
      <c r="L18" s="76" t="n">
        <f aca="false">(P4/B18)/S2</f>
        <v>146.666666666667</v>
      </c>
      <c r="M18" s="77" t="n">
        <f aca="false">(L18*S2*C18)/1000</f>
        <v>66</v>
      </c>
      <c r="N18" s="77" t="n">
        <f aca="false">P5-G18</f>
        <v>29.7</v>
      </c>
      <c r="Q18" s="58" t="s">
        <v>193</v>
      </c>
      <c r="R18" s="58"/>
      <c r="S18" s="8" t="n">
        <f aca="false">U17*15/Suplementos!C31</f>
        <v>30</v>
      </c>
      <c r="U18" s="13" t="n">
        <f aca="false">U17*4</f>
        <v>104</v>
      </c>
      <c r="V18" s="13" t="s">
        <v>194</v>
      </c>
    </row>
    <row r="19" customFormat="false" ht="15" hidden="false" customHeight="false" outlineLevel="0" collapsed="false">
      <c r="A19" s="74" t="s">
        <v>195</v>
      </c>
      <c r="B19" s="74" t="n">
        <v>1.5</v>
      </c>
      <c r="C19" s="74" t="n">
        <v>63</v>
      </c>
      <c r="D19" s="4"/>
      <c r="E19" s="43" t="n">
        <f aca="false">D19*S2</f>
        <v>0</v>
      </c>
      <c r="F19" s="43" t="n">
        <f aca="false">B19*E19</f>
        <v>0</v>
      </c>
      <c r="G19" s="43" t="n">
        <f aca="false">C19*E19/1000</f>
        <v>0</v>
      </c>
      <c r="H19" s="75" t="n">
        <f aca="false">F19/P1</f>
        <v>0</v>
      </c>
      <c r="I19" s="75" t="n">
        <f aca="false">G19/P1</f>
        <v>0</v>
      </c>
      <c r="J19" s="75" t="n">
        <f aca="false">F19*100/P4</f>
        <v>0</v>
      </c>
      <c r="K19" s="75" t="n">
        <f aca="false">G19*100/P5</f>
        <v>0</v>
      </c>
      <c r="L19" s="76" t="n">
        <f aca="false">(P4/B19)/S2</f>
        <v>146.666666666667</v>
      </c>
      <c r="M19" s="77" t="n">
        <f aca="false">(L19*S2*C19)/1000</f>
        <v>55.44</v>
      </c>
      <c r="N19" s="77" t="n">
        <f aca="false">P5-G19</f>
        <v>79.2</v>
      </c>
      <c r="Q19" s="58" t="s">
        <v>196</v>
      </c>
      <c r="R19" s="58"/>
      <c r="S19" s="8" t="n">
        <f aca="false">U17*12/Suplementos!C32</f>
        <v>30</v>
      </c>
      <c r="U19" s="13" t="n">
        <f aca="false">U17*4</f>
        <v>104</v>
      </c>
      <c r="V19" s="13" t="s">
        <v>194</v>
      </c>
    </row>
    <row r="20" customFormat="false" ht="15" hidden="false" customHeight="false" outlineLevel="0" collapsed="false">
      <c r="A20" s="74" t="s">
        <v>197</v>
      </c>
      <c r="B20" s="74" t="n">
        <v>1.5</v>
      </c>
      <c r="C20" s="74" t="n">
        <v>83</v>
      </c>
      <c r="D20" s="4"/>
      <c r="E20" s="43" t="n">
        <f aca="false">D20*S2</f>
        <v>0</v>
      </c>
      <c r="F20" s="43" t="n">
        <f aca="false">B20*E20</f>
        <v>0</v>
      </c>
      <c r="G20" s="43" t="n">
        <f aca="false">C20*E20/1000</f>
        <v>0</v>
      </c>
      <c r="H20" s="75" t="n">
        <f aca="false">F20/P1</f>
        <v>0</v>
      </c>
      <c r="I20" s="75" t="n">
        <f aca="false">G20/P1</f>
        <v>0</v>
      </c>
      <c r="J20" s="75" t="n">
        <f aca="false">F20*100/P4</f>
        <v>0</v>
      </c>
      <c r="K20" s="75" t="n">
        <f aca="false">G20*100/P5</f>
        <v>0</v>
      </c>
      <c r="L20" s="76" t="n">
        <f aca="false">(P4/B20)/S2</f>
        <v>146.666666666667</v>
      </c>
      <c r="M20" s="77" t="n">
        <f aca="false">(L20*S2*C20)/1000</f>
        <v>73.04</v>
      </c>
      <c r="N20" s="77" t="n">
        <f aca="false">P5-G20</f>
        <v>79.2</v>
      </c>
      <c r="Q20" s="58" t="s">
        <v>198</v>
      </c>
      <c r="R20" s="58"/>
      <c r="S20" s="8" t="n">
        <f aca="false">U17*20/Suplementos!C33</f>
        <v>86.6666666666667</v>
      </c>
      <c r="U20" s="13" t="n">
        <f aca="false">U17*4+(S20*9.66/20)</f>
        <v>145.86</v>
      </c>
      <c r="V20" s="13" t="s">
        <v>194</v>
      </c>
    </row>
    <row r="21" customFormat="false" ht="15.75" hidden="false" customHeight="true" outlineLevel="0" collapsed="false">
      <c r="A21" s="74" t="s">
        <v>199</v>
      </c>
      <c r="B21" s="74" t="n">
        <v>1.5</v>
      </c>
      <c r="C21" s="74" t="n">
        <v>60</v>
      </c>
      <c r="D21" s="4"/>
      <c r="E21" s="43" t="n">
        <f aca="false">D21*S2</f>
        <v>0</v>
      </c>
      <c r="F21" s="43" t="n">
        <f aca="false">B21*E21</f>
        <v>0</v>
      </c>
      <c r="G21" s="43" t="n">
        <f aca="false">C21*E21/1000</f>
        <v>0</v>
      </c>
      <c r="H21" s="75" t="n">
        <f aca="false">F21/P1</f>
        <v>0</v>
      </c>
      <c r="I21" s="75" t="n">
        <f aca="false">G21/P1</f>
        <v>0</v>
      </c>
      <c r="J21" s="75" t="n">
        <f aca="false">F21*100/P4</f>
        <v>0</v>
      </c>
      <c r="K21" s="75" t="n">
        <f aca="false">G21*100/P5</f>
        <v>0</v>
      </c>
      <c r="L21" s="76" t="n">
        <f aca="false">(P4/B21)/S2</f>
        <v>146.666666666667</v>
      </c>
      <c r="M21" s="77" t="n">
        <f aca="false">(L21*S2*C21)/1000</f>
        <v>52.8</v>
      </c>
      <c r="N21" s="77" t="n">
        <f aca="false">P5-G21</f>
        <v>79.2</v>
      </c>
    </row>
    <row r="22" customFormat="false" ht="15.75" hidden="false" customHeight="true" outlineLevel="0" collapsed="false">
      <c r="A22" s="74" t="s">
        <v>200</v>
      </c>
      <c r="B22" s="74" t="n">
        <v>1.5</v>
      </c>
      <c r="C22" s="74" t="n">
        <v>60</v>
      </c>
      <c r="D22" s="4"/>
      <c r="E22" s="43" t="n">
        <f aca="false">D22*S2</f>
        <v>0</v>
      </c>
      <c r="F22" s="43" t="n">
        <f aca="false">B22*E22</f>
        <v>0</v>
      </c>
      <c r="G22" s="43" t="n">
        <f aca="false">C22*E22/1000</f>
        <v>0</v>
      </c>
      <c r="H22" s="75" t="n">
        <f aca="false">F22/P1</f>
        <v>0</v>
      </c>
      <c r="I22" s="75" t="n">
        <f aca="false">G22/P1</f>
        <v>0</v>
      </c>
      <c r="J22" s="75" t="n">
        <f aca="false">F22*100/P4</f>
        <v>0</v>
      </c>
      <c r="K22" s="75" t="n">
        <f aca="false">G22*100/P5</f>
        <v>0</v>
      </c>
      <c r="L22" s="76" t="n">
        <f aca="false">(P4/B22)/S2</f>
        <v>146.666666666667</v>
      </c>
      <c r="M22" s="77" t="n">
        <f aca="false">(L22*S2*C22)/1000</f>
        <v>52.8</v>
      </c>
      <c r="N22" s="77" t="n">
        <f aca="false">P5-G22</f>
        <v>79.2</v>
      </c>
    </row>
    <row r="23" customFormat="false" ht="15.75" hidden="false" customHeight="true" outlineLevel="0" collapsed="false">
      <c r="A23" s="74" t="s">
        <v>201</v>
      </c>
      <c r="B23" s="74" t="n">
        <v>1.5</v>
      </c>
      <c r="C23" s="74" t="n">
        <v>64</v>
      </c>
      <c r="D23" s="4"/>
      <c r="E23" s="43" t="n">
        <f aca="false">D23*S2</f>
        <v>0</v>
      </c>
      <c r="F23" s="43" t="n">
        <f aca="false">B23*E23</f>
        <v>0</v>
      </c>
      <c r="G23" s="43" t="n">
        <f aca="false">C23*E23/1000</f>
        <v>0</v>
      </c>
      <c r="H23" s="75" t="n">
        <f aca="false">F23/P1</f>
        <v>0</v>
      </c>
      <c r="I23" s="75" t="n">
        <f aca="false">G23/P1</f>
        <v>0</v>
      </c>
      <c r="J23" s="75" t="n">
        <f aca="false">F23*100/P4</f>
        <v>0</v>
      </c>
      <c r="K23" s="75" t="n">
        <f aca="false">G23*100/P5</f>
        <v>0</v>
      </c>
      <c r="L23" s="76" t="n">
        <f aca="false">(P4/B23)/S2</f>
        <v>146.666666666667</v>
      </c>
      <c r="M23" s="77" t="n">
        <f aca="false">(L23*S2*C23)/1000</f>
        <v>56.32</v>
      </c>
      <c r="N23" s="77" t="n">
        <f aca="false">P5-G23</f>
        <v>79.2</v>
      </c>
    </row>
    <row r="24" customFormat="false" ht="15.75" hidden="false" customHeight="true" outlineLevel="0" collapsed="false">
      <c r="A24" s="74" t="s">
        <v>202</v>
      </c>
      <c r="B24" s="74" t="n">
        <v>1.5</v>
      </c>
      <c r="C24" s="74" t="n">
        <v>63</v>
      </c>
      <c r="D24" s="4"/>
      <c r="E24" s="43" t="n">
        <f aca="false">D24*S2</f>
        <v>0</v>
      </c>
      <c r="F24" s="43" t="n">
        <f aca="false">B24*E24</f>
        <v>0</v>
      </c>
      <c r="G24" s="43" t="n">
        <f aca="false">C24*E24/1000</f>
        <v>0</v>
      </c>
      <c r="H24" s="75" t="n">
        <f aca="false">F24/P1</f>
        <v>0</v>
      </c>
      <c r="I24" s="75" t="n">
        <f aca="false">G24/P1</f>
        <v>0</v>
      </c>
      <c r="J24" s="75" t="n">
        <f aca="false">F24*100/P4</f>
        <v>0</v>
      </c>
      <c r="K24" s="75" t="n">
        <f aca="false">G24*100/P5</f>
        <v>0</v>
      </c>
      <c r="L24" s="76" t="n">
        <f aca="false">(P4/B24)/S2</f>
        <v>146.666666666667</v>
      </c>
      <c r="M24" s="77" t="n">
        <f aca="false">(L24*S2*C24)/1000</f>
        <v>55.44</v>
      </c>
      <c r="N24" s="77" t="n">
        <f aca="false">P5-G24</f>
        <v>79.2</v>
      </c>
    </row>
    <row r="25" customFormat="false" ht="15.75" hidden="false" customHeight="true" outlineLevel="0" collapsed="false">
      <c r="A25" s="74" t="s">
        <v>203</v>
      </c>
      <c r="B25" s="74" t="n">
        <v>1.5</v>
      </c>
      <c r="C25" s="74" t="n">
        <v>58</v>
      </c>
      <c r="D25" s="4"/>
      <c r="E25" s="43" t="n">
        <f aca="false">D25*S2</f>
        <v>0</v>
      </c>
      <c r="F25" s="43" t="n">
        <f aca="false">B25*E25</f>
        <v>0</v>
      </c>
      <c r="G25" s="43" t="n">
        <f aca="false">C25*E25/1000</f>
        <v>0</v>
      </c>
      <c r="H25" s="75" t="n">
        <f aca="false">F25/P1</f>
        <v>0</v>
      </c>
      <c r="I25" s="75" t="n">
        <f aca="false">G25/P1</f>
        <v>0</v>
      </c>
      <c r="J25" s="75" t="n">
        <f aca="false">F25*100/P4</f>
        <v>0</v>
      </c>
      <c r="K25" s="75" t="n">
        <f aca="false">G25*100/P5</f>
        <v>0</v>
      </c>
      <c r="L25" s="76" t="n">
        <f aca="false">(P4/B25)/S2</f>
        <v>146.666666666667</v>
      </c>
      <c r="M25" s="77" t="n">
        <f aca="false">(L25*S2*C25)/1000</f>
        <v>51.04</v>
      </c>
      <c r="N25" s="77" t="n">
        <f aca="false">P5-G25</f>
        <v>79.2</v>
      </c>
    </row>
    <row r="26" customFormat="false" ht="15.75" hidden="false" customHeight="true" outlineLevel="0" collapsed="false">
      <c r="A26" s="74" t="s">
        <v>204</v>
      </c>
      <c r="B26" s="74" t="n">
        <v>1.5</v>
      </c>
      <c r="C26" s="74" t="n">
        <v>69</v>
      </c>
      <c r="D26" s="4"/>
      <c r="E26" s="43" t="n">
        <f aca="false">D26*S2</f>
        <v>0</v>
      </c>
      <c r="F26" s="43" t="n">
        <f aca="false">B26*E26</f>
        <v>0</v>
      </c>
      <c r="G26" s="43" t="n">
        <f aca="false">C26*E26/1000</f>
        <v>0</v>
      </c>
      <c r="H26" s="75" t="n">
        <f aca="false">F26/P1</f>
        <v>0</v>
      </c>
      <c r="I26" s="75" t="n">
        <f aca="false">G26/P1</f>
        <v>0</v>
      </c>
      <c r="J26" s="75" t="n">
        <f aca="false">F26*100/P4</f>
        <v>0</v>
      </c>
      <c r="K26" s="75" t="n">
        <f aca="false">G26*100/P5</f>
        <v>0</v>
      </c>
      <c r="L26" s="76" t="n">
        <f aca="false">(P4/B26)/S2</f>
        <v>146.666666666667</v>
      </c>
      <c r="M26" s="77" t="n">
        <f aca="false">(L26*S2*C26)/1000</f>
        <v>60.72</v>
      </c>
      <c r="N26" s="77" t="n">
        <f aca="false">P5-G26</f>
        <v>79.2</v>
      </c>
    </row>
    <row r="27" customFormat="false" ht="15.75" hidden="false" customHeight="true" outlineLevel="0" collapsed="false">
      <c r="A27" s="74" t="s">
        <v>205</v>
      </c>
      <c r="B27" s="74" t="n">
        <v>1.5</v>
      </c>
      <c r="C27" s="74" t="n">
        <v>57</v>
      </c>
      <c r="D27" s="4"/>
      <c r="E27" s="43" t="n">
        <f aca="false">D27*S2</f>
        <v>0</v>
      </c>
      <c r="F27" s="43" t="n">
        <f aca="false">B27*E27</f>
        <v>0</v>
      </c>
      <c r="G27" s="43" t="n">
        <f aca="false">C27*E27/1000</f>
        <v>0</v>
      </c>
      <c r="H27" s="75" t="n">
        <f aca="false">F27/P1</f>
        <v>0</v>
      </c>
      <c r="I27" s="75" t="n">
        <f aca="false">G27/P1</f>
        <v>0</v>
      </c>
      <c r="J27" s="75" t="n">
        <f aca="false">F27*100/P4</f>
        <v>0</v>
      </c>
      <c r="K27" s="75" t="n">
        <f aca="false">G27*100/P5</f>
        <v>0</v>
      </c>
      <c r="L27" s="76" t="n">
        <f aca="false">(P4/B27)/S2</f>
        <v>146.666666666667</v>
      </c>
      <c r="M27" s="77" t="n">
        <f aca="false">(L27*S2*C27)/1000</f>
        <v>50.16</v>
      </c>
      <c r="N27" s="77" t="n">
        <f aca="false">P5-G27</f>
        <v>79.2</v>
      </c>
    </row>
    <row r="28" customFormat="false" ht="15.75" hidden="false" customHeight="true" outlineLevel="0" collapsed="false">
      <c r="A28" s="74" t="s">
        <v>206</v>
      </c>
      <c r="B28" s="74" t="n">
        <v>2</v>
      </c>
      <c r="C28" s="74" t="n">
        <v>50</v>
      </c>
      <c r="D28" s="4"/>
      <c r="E28" s="43" t="n">
        <f aca="false">D28*S2</f>
        <v>0</v>
      </c>
      <c r="F28" s="43" t="n">
        <f aca="false">B28*E28</f>
        <v>0</v>
      </c>
      <c r="G28" s="43" t="n">
        <f aca="false">C28*E28/500</f>
        <v>0</v>
      </c>
      <c r="H28" s="75" t="n">
        <f aca="false">F28/P1</f>
        <v>0</v>
      </c>
      <c r="I28" s="75" t="n">
        <f aca="false">G28/P1</f>
        <v>0</v>
      </c>
      <c r="J28" s="75" t="n">
        <f aca="false">F28*100/P4</f>
        <v>0</v>
      </c>
      <c r="K28" s="75" t="n">
        <f aca="false">G28*100/P5</f>
        <v>0</v>
      </c>
      <c r="L28" s="76" t="n">
        <f aca="false">(P4/B28)/S2</f>
        <v>110</v>
      </c>
      <c r="M28" s="77" t="n">
        <f aca="false">(L28*S2*C28)/1000</f>
        <v>33</v>
      </c>
      <c r="N28" s="77" t="n">
        <f aca="false">P5-G28</f>
        <v>79.2</v>
      </c>
    </row>
    <row r="29" customFormat="false" ht="15.75" hidden="false" customHeight="true" outlineLevel="0" collapsed="false">
      <c r="A29" s="74" t="s">
        <v>207</v>
      </c>
      <c r="B29" s="74" t="n">
        <v>2</v>
      </c>
      <c r="C29" s="74" t="n">
        <v>50</v>
      </c>
      <c r="D29" s="4"/>
      <c r="E29" s="43" t="n">
        <f aca="false">D29*S2</f>
        <v>0</v>
      </c>
      <c r="F29" s="43" t="n">
        <f aca="false">B29*E29</f>
        <v>0</v>
      </c>
      <c r="G29" s="43" t="n">
        <f aca="false">C29*E29/500</f>
        <v>0</v>
      </c>
      <c r="H29" s="75" t="n">
        <f aca="false">F29/P1</f>
        <v>0</v>
      </c>
      <c r="I29" s="75" t="n">
        <f aca="false">G29/P1</f>
        <v>0</v>
      </c>
      <c r="J29" s="75" t="n">
        <f aca="false">F29*100/P4</f>
        <v>0</v>
      </c>
      <c r="K29" s="75" t="n">
        <f aca="false">G29*100/P5</f>
        <v>0</v>
      </c>
      <c r="L29" s="76" t="n">
        <f aca="false">(P4/B29)/S2</f>
        <v>110</v>
      </c>
      <c r="M29" s="77" t="n">
        <f aca="false">(L29*S2*C29)/1000</f>
        <v>33</v>
      </c>
      <c r="N29" s="77" t="n">
        <f aca="false">P5-G29</f>
        <v>79.2</v>
      </c>
    </row>
    <row r="30" customFormat="false" ht="15.75" hidden="false" customHeight="true" outlineLevel="0" collapsed="false">
      <c r="A30" s="74" t="s">
        <v>208</v>
      </c>
      <c r="B30" s="74" t="n">
        <v>1</v>
      </c>
      <c r="C30" s="74" t="n">
        <v>46.5</v>
      </c>
      <c r="D30" s="4"/>
      <c r="E30" s="43" t="n">
        <f aca="false">D30*S2</f>
        <v>0</v>
      </c>
      <c r="F30" s="43" t="n">
        <f aca="false">B30*E30</f>
        <v>0</v>
      </c>
      <c r="G30" s="43" t="n">
        <f aca="false">C30*E30/1000</f>
        <v>0</v>
      </c>
      <c r="H30" s="75" t="n">
        <f aca="false">F30/P1</f>
        <v>0</v>
      </c>
      <c r="I30" s="75" t="n">
        <f aca="false">G30/P1</f>
        <v>0</v>
      </c>
      <c r="J30" s="75" t="n">
        <f aca="false">F30*100/P4</f>
        <v>0</v>
      </c>
      <c r="K30" s="75" t="n">
        <f aca="false">G30*100/P5</f>
        <v>0</v>
      </c>
      <c r="L30" s="76" t="n">
        <f aca="false">(P4/B30)/S2</f>
        <v>220</v>
      </c>
      <c r="M30" s="77" t="n">
        <f aca="false">(L30*S2*C30)/1000</f>
        <v>61.38</v>
      </c>
      <c r="N30" s="77" t="n">
        <f aca="false">P5-G30</f>
        <v>79.2</v>
      </c>
    </row>
    <row r="31" customFormat="false" ht="15.75" hidden="false" customHeight="true" outlineLevel="0" collapsed="false">
      <c r="A31" s="74" t="s">
        <v>209</v>
      </c>
      <c r="B31" s="74" t="n">
        <v>1</v>
      </c>
      <c r="C31" s="74" t="n">
        <v>75</v>
      </c>
      <c r="D31" s="4"/>
      <c r="E31" s="43" t="n">
        <f aca="false">D31*S2</f>
        <v>0</v>
      </c>
      <c r="F31" s="43" t="n">
        <f aca="false">B31*E31</f>
        <v>0</v>
      </c>
      <c r="G31" s="43" t="n">
        <f aca="false">C31*E31/1000</f>
        <v>0</v>
      </c>
      <c r="H31" s="75" t="n">
        <f aca="false">F31/P1</f>
        <v>0</v>
      </c>
      <c r="I31" s="75" t="n">
        <f aca="false">G31/P1</f>
        <v>0</v>
      </c>
      <c r="J31" s="75" t="n">
        <f aca="false">F31*100/P4</f>
        <v>0</v>
      </c>
      <c r="K31" s="75" t="n">
        <f aca="false">G31*100/P5</f>
        <v>0</v>
      </c>
      <c r="L31" s="76" t="n">
        <f aca="false">(P4/B31)/S2</f>
        <v>220</v>
      </c>
      <c r="M31" s="77" t="n">
        <f aca="false">(L31*S2*C31)/1000</f>
        <v>99</v>
      </c>
      <c r="N31" s="77" t="n">
        <f aca="false">P5-G31</f>
        <v>79.2</v>
      </c>
    </row>
    <row r="32" customFormat="false" ht="15.75" hidden="false" customHeight="true" outlineLevel="0" collapsed="false">
      <c r="A32" s="74" t="s">
        <v>210</v>
      </c>
      <c r="B32" s="74" t="n">
        <v>1.12</v>
      </c>
      <c r="C32" s="74" t="n">
        <v>49</v>
      </c>
      <c r="D32" s="4"/>
      <c r="E32" s="43" t="n">
        <f aca="false">D32*S2</f>
        <v>0</v>
      </c>
      <c r="F32" s="43" t="n">
        <f aca="false">B32*E32</f>
        <v>0</v>
      </c>
      <c r="G32" s="43" t="n">
        <f aca="false">C32*E32/1000</f>
        <v>0</v>
      </c>
      <c r="H32" s="75" t="n">
        <f aca="false">F32/P1</f>
        <v>0</v>
      </c>
      <c r="I32" s="75" t="n">
        <f aca="false">G32/P1</f>
        <v>0</v>
      </c>
      <c r="J32" s="75" t="n">
        <f aca="false">F32*100/P4</f>
        <v>0</v>
      </c>
      <c r="K32" s="75" t="n">
        <f aca="false">G32*100/P5</f>
        <v>0</v>
      </c>
      <c r="L32" s="76" t="n">
        <f aca="false">(P4/B32)/S2</f>
        <v>196.428571428571</v>
      </c>
      <c r="M32" s="77" t="n">
        <f aca="false">(L32*S2*C32)/1000</f>
        <v>57.75</v>
      </c>
      <c r="N32" s="77" t="n">
        <f aca="false">P5-G32</f>
        <v>79.2</v>
      </c>
    </row>
    <row r="33" customFormat="false" ht="15.75" hidden="false" customHeight="true" outlineLevel="0" collapsed="false">
      <c r="A33" s="74" t="s">
        <v>211</v>
      </c>
      <c r="B33" s="74" t="n">
        <v>1.14</v>
      </c>
      <c r="C33" s="74" t="n">
        <v>64</v>
      </c>
      <c r="D33" s="4"/>
      <c r="E33" s="43" t="n">
        <f aca="false">D33*S2</f>
        <v>0</v>
      </c>
      <c r="F33" s="43" t="n">
        <f aca="false">B33*E33</f>
        <v>0</v>
      </c>
      <c r="G33" s="43" t="n">
        <f aca="false">C33*E33/1000</f>
        <v>0</v>
      </c>
      <c r="H33" s="75" t="n">
        <f aca="false">F33/P1</f>
        <v>0</v>
      </c>
      <c r="I33" s="75" t="n">
        <f aca="false">G33/P1</f>
        <v>0</v>
      </c>
      <c r="J33" s="75" t="n">
        <f aca="false">F33*100/P4</f>
        <v>0</v>
      </c>
      <c r="K33" s="75" t="n">
        <f aca="false">G33*100/P5</f>
        <v>0</v>
      </c>
      <c r="L33" s="76" t="n">
        <f aca="false">(P4/B33)/S2</f>
        <v>192.982456140351</v>
      </c>
      <c r="M33" s="77" t="n">
        <f aca="false">(L33*S2*C33)/1000</f>
        <v>74.1052631578948</v>
      </c>
      <c r="N33" s="77" t="n">
        <f aca="false">P5-G33</f>
        <v>79.2</v>
      </c>
    </row>
    <row r="34" customFormat="false" ht="15.75" hidden="false" customHeight="true" outlineLevel="0" collapsed="false">
      <c r="A34" s="74" t="s">
        <v>212</v>
      </c>
      <c r="B34" s="74" t="n">
        <v>1.5</v>
      </c>
      <c r="C34" s="74" t="n">
        <v>75</v>
      </c>
      <c r="D34" s="4"/>
      <c r="E34" s="43" t="n">
        <f aca="false">D34*S2</f>
        <v>0</v>
      </c>
      <c r="F34" s="43" t="n">
        <f aca="false">B34*E34</f>
        <v>0</v>
      </c>
      <c r="G34" s="43" t="n">
        <f aca="false">C34*E34/1000</f>
        <v>0</v>
      </c>
      <c r="H34" s="75" t="n">
        <f aca="false">F34/P1</f>
        <v>0</v>
      </c>
      <c r="I34" s="75" t="n">
        <f aca="false">G34/P1</f>
        <v>0</v>
      </c>
      <c r="J34" s="75" t="n">
        <f aca="false">F34*100/P4</f>
        <v>0</v>
      </c>
      <c r="K34" s="75" t="n">
        <f aca="false">G34*100/P5</f>
        <v>0</v>
      </c>
      <c r="L34" s="76" t="n">
        <f aca="false">(P4/B34)/S2</f>
        <v>146.666666666667</v>
      </c>
      <c r="M34" s="77" t="n">
        <f aca="false">(L34*S2*C34)/1000</f>
        <v>66</v>
      </c>
      <c r="N34" s="77" t="n">
        <f aca="false">P5-G34</f>
        <v>79.2</v>
      </c>
    </row>
    <row r="35" customFormat="false" ht="15.75" hidden="false" customHeight="true" outlineLevel="0" collapsed="false">
      <c r="A35" s="74" t="s">
        <v>213</v>
      </c>
      <c r="B35" s="74" t="n">
        <v>1</v>
      </c>
      <c r="C35" s="74" t="n">
        <v>43</v>
      </c>
      <c r="D35" s="4"/>
      <c r="E35" s="43" t="n">
        <f aca="false">D35*S2</f>
        <v>0</v>
      </c>
      <c r="F35" s="43" t="n">
        <f aca="false">B35*E35</f>
        <v>0</v>
      </c>
      <c r="G35" s="43" t="n">
        <f aca="false">C35*E35/1000</f>
        <v>0</v>
      </c>
      <c r="H35" s="75" t="n">
        <f aca="false">F35/P1</f>
        <v>0</v>
      </c>
      <c r="I35" s="75" t="n">
        <f aca="false">G35/P1</f>
        <v>0</v>
      </c>
      <c r="J35" s="75" t="n">
        <f aca="false">F35*100/P4</f>
        <v>0</v>
      </c>
      <c r="K35" s="75" t="n">
        <f aca="false">G35*100/P5</f>
        <v>0</v>
      </c>
      <c r="L35" s="76" t="n">
        <f aca="false">(P4/B35)/S2</f>
        <v>220</v>
      </c>
      <c r="M35" s="77" t="n">
        <f aca="false">(L35*S2*C35)/1000</f>
        <v>56.76</v>
      </c>
      <c r="N35" s="77" t="n">
        <f aca="false">P5-G35</f>
        <v>79.2</v>
      </c>
    </row>
    <row r="36" customFormat="false" ht="15.75" hidden="false" customHeight="true" outlineLevel="0" collapsed="false">
      <c r="A36" s="74" t="s">
        <v>214</v>
      </c>
      <c r="B36" s="74" t="n">
        <v>2</v>
      </c>
      <c r="C36" s="74" t="n">
        <v>74</v>
      </c>
      <c r="D36" s="4"/>
      <c r="E36" s="43" t="n">
        <f aca="false">D36*S2</f>
        <v>0</v>
      </c>
      <c r="F36" s="43" t="n">
        <f aca="false">B36*E36</f>
        <v>0</v>
      </c>
      <c r="G36" s="43" t="n">
        <f aca="false">C36*E36/1000</f>
        <v>0</v>
      </c>
      <c r="H36" s="75" t="n">
        <f aca="false">F36/P1</f>
        <v>0</v>
      </c>
      <c r="I36" s="75" t="n">
        <f aca="false">G36/P1</f>
        <v>0</v>
      </c>
      <c r="J36" s="75" t="n">
        <f aca="false">F36*100/P4</f>
        <v>0</v>
      </c>
      <c r="K36" s="75" t="n">
        <f aca="false">G36*100/P5</f>
        <v>0</v>
      </c>
      <c r="L36" s="76" t="n">
        <f aca="false">(P4/B36)/S2</f>
        <v>110</v>
      </c>
      <c r="M36" s="77" t="n">
        <f aca="false">(L36*S2*C36)/1000</f>
        <v>48.84</v>
      </c>
      <c r="N36" s="77" t="n">
        <f aca="false">P5-G36</f>
        <v>79.2</v>
      </c>
    </row>
    <row r="37" customFormat="false" ht="15.75" hidden="false" customHeight="true" outlineLevel="0" collapsed="false">
      <c r="A37" s="74" t="s">
        <v>215</v>
      </c>
      <c r="B37" s="74" t="n">
        <v>1.5</v>
      </c>
      <c r="C37" s="74" t="n">
        <v>60</v>
      </c>
      <c r="D37" s="4"/>
      <c r="E37" s="43" t="n">
        <f aca="false">D37*S2</f>
        <v>0</v>
      </c>
      <c r="F37" s="43" t="n">
        <f aca="false">B37*E37</f>
        <v>0</v>
      </c>
      <c r="G37" s="43" t="n">
        <f aca="false">C37*E37/1000</f>
        <v>0</v>
      </c>
      <c r="H37" s="75" t="n">
        <f aca="false">F37/P1</f>
        <v>0</v>
      </c>
      <c r="I37" s="75" t="n">
        <f aca="false">G37/P1</f>
        <v>0</v>
      </c>
      <c r="J37" s="75" t="n">
        <f aca="false">F37*100/P4</f>
        <v>0</v>
      </c>
      <c r="K37" s="75" t="n">
        <f aca="false">G37*100/P5</f>
        <v>0</v>
      </c>
      <c r="L37" s="76" t="n">
        <f aca="false">(P4/B37)/S2</f>
        <v>146.666666666667</v>
      </c>
      <c r="M37" s="77" t="n">
        <f aca="false">(L37*S2*C37)/1000</f>
        <v>52.8</v>
      </c>
      <c r="N37" s="77" t="n">
        <f aca="false">P5-G37</f>
        <v>79.2</v>
      </c>
    </row>
    <row r="38" customFormat="false" ht="15.75" hidden="false" customHeight="true" outlineLevel="0" collapsed="false">
      <c r="A38" s="74" t="s">
        <v>216</v>
      </c>
      <c r="B38" s="74" t="n">
        <v>1</v>
      </c>
      <c r="C38" s="74" t="n">
        <v>58</v>
      </c>
      <c r="D38" s="4"/>
      <c r="E38" s="43" t="n">
        <f aca="false">D38*S2</f>
        <v>0</v>
      </c>
      <c r="F38" s="43" t="n">
        <f aca="false">B38*E38</f>
        <v>0</v>
      </c>
      <c r="G38" s="43" t="n">
        <f aca="false">C38*E38/1000</f>
        <v>0</v>
      </c>
      <c r="H38" s="75" t="n">
        <f aca="false">F38/P1</f>
        <v>0</v>
      </c>
      <c r="I38" s="75" t="n">
        <f aca="false">G38/P1</f>
        <v>0</v>
      </c>
      <c r="J38" s="75" t="n">
        <f aca="false">F38*100/P4</f>
        <v>0</v>
      </c>
      <c r="K38" s="75" t="n">
        <f aca="false">G38*100/P5</f>
        <v>0</v>
      </c>
      <c r="L38" s="76" t="n">
        <f aca="false">(P4/B38)/S2</f>
        <v>220</v>
      </c>
      <c r="M38" s="77" t="n">
        <f aca="false">(L38*S2*C38)/1000</f>
        <v>76.56</v>
      </c>
      <c r="N38" s="77" t="n">
        <f aca="false">P5-G38</f>
        <v>79.2</v>
      </c>
    </row>
    <row r="39" customFormat="false" ht="15.75" hidden="false" customHeight="true" outlineLevel="0" collapsed="false">
      <c r="A39" s="74" t="s">
        <v>217</v>
      </c>
      <c r="B39" s="74" t="n">
        <v>1</v>
      </c>
      <c r="C39" s="74" t="n">
        <v>55</v>
      </c>
      <c r="D39" s="4"/>
      <c r="E39" s="43" t="n">
        <f aca="false">D39*S2</f>
        <v>0</v>
      </c>
      <c r="F39" s="43" t="n">
        <f aca="false">B39*E39</f>
        <v>0</v>
      </c>
      <c r="G39" s="43" t="n">
        <f aca="false">C39*E39/1000</f>
        <v>0</v>
      </c>
      <c r="H39" s="75" t="n">
        <f aca="false">F39/P1</f>
        <v>0</v>
      </c>
      <c r="I39" s="75" t="n">
        <f aca="false">G39/P1</f>
        <v>0</v>
      </c>
      <c r="J39" s="75" t="n">
        <f aca="false">F39*100/P4</f>
        <v>0</v>
      </c>
      <c r="K39" s="75" t="n">
        <f aca="false">G39*100/P5</f>
        <v>0</v>
      </c>
      <c r="L39" s="76" t="n">
        <f aca="false">(P4/B39)/S2</f>
        <v>220</v>
      </c>
      <c r="M39" s="77" t="n">
        <f aca="false">(L39*S2*C39)/1000</f>
        <v>72.6</v>
      </c>
      <c r="N39" s="77" t="n">
        <f aca="false">P5-G39</f>
        <v>79.2</v>
      </c>
    </row>
    <row r="40" customFormat="false" ht="15.75" hidden="false" customHeight="true" outlineLevel="0" collapsed="false">
      <c r="A40" s="74" t="s">
        <v>218</v>
      </c>
      <c r="B40" s="74" t="n">
        <v>1.3</v>
      </c>
      <c r="C40" s="74" t="n">
        <v>40</v>
      </c>
      <c r="D40" s="4"/>
      <c r="E40" s="43" t="n">
        <f aca="false">D40*S2</f>
        <v>0</v>
      </c>
      <c r="F40" s="43" t="n">
        <f aca="false">B40*E40</f>
        <v>0</v>
      </c>
      <c r="G40" s="43" t="n">
        <f aca="false">C40*E40/1000</f>
        <v>0</v>
      </c>
      <c r="H40" s="75" t="n">
        <f aca="false">F40/P1</f>
        <v>0</v>
      </c>
      <c r="I40" s="75" t="n">
        <f aca="false">G40/P1</f>
        <v>0</v>
      </c>
      <c r="J40" s="75" t="n">
        <f aca="false">F40*100/P4</f>
        <v>0</v>
      </c>
      <c r="K40" s="75" t="n">
        <f aca="false">G40*100/P5</f>
        <v>0</v>
      </c>
      <c r="L40" s="76" t="n">
        <f aca="false">(P4/B40)/S2</f>
        <v>169.230769230769</v>
      </c>
      <c r="M40" s="77" t="n">
        <f aca="false">(L40*S2*C40)/1000</f>
        <v>40.6153846153846</v>
      </c>
      <c r="N40" s="77" t="n">
        <f aca="false">P5-G40</f>
        <v>79.2</v>
      </c>
    </row>
    <row r="41" customFormat="false" ht="15.75" hidden="false" customHeight="true" outlineLevel="0" collapsed="false">
      <c r="A41" s="74" t="s">
        <v>219</v>
      </c>
      <c r="B41" s="74" t="n">
        <v>1.5</v>
      </c>
      <c r="C41" s="74" t="n">
        <v>100</v>
      </c>
      <c r="D41" s="4"/>
      <c r="E41" s="43" t="n">
        <f aca="false">D41*S2</f>
        <v>0</v>
      </c>
      <c r="F41" s="43" t="n">
        <f aca="false">B41*E41</f>
        <v>0</v>
      </c>
      <c r="G41" s="43" t="n">
        <f aca="false">C41*E41/1000</f>
        <v>0</v>
      </c>
      <c r="H41" s="75" t="n">
        <f aca="false">F41/P1</f>
        <v>0</v>
      </c>
      <c r="I41" s="75" t="n">
        <f aca="false">G41/P1</f>
        <v>0</v>
      </c>
      <c r="J41" s="75" t="n">
        <f aca="false">F41*100/P4</f>
        <v>0</v>
      </c>
      <c r="K41" s="75" t="n">
        <f aca="false">G41*100/P5</f>
        <v>0</v>
      </c>
      <c r="L41" s="76" t="n">
        <f aca="false">(P4/B41)/S2</f>
        <v>146.666666666667</v>
      </c>
      <c r="M41" s="77" t="n">
        <f aca="false">(L41*S2*C41)/1000</f>
        <v>88</v>
      </c>
      <c r="N41" s="77" t="n">
        <f aca="false">P5-G41</f>
        <v>79.2</v>
      </c>
    </row>
    <row r="42" customFormat="false" ht="15.75" hidden="false" customHeight="true" outlineLevel="0" collapsed="false">
      <c r="A42" s="74" t="s">
        <v>220</v>
      </c>
      <c r="B42" s="74" t="n">
        <v>1.5</v>
      </c>
      <c r="C42" s="74" t="n">
        <v>94</v>
      </c>
      <c r="D42" s="4"/>
      <c r="E42" s="43" t="n">
        <f aca="false">D42*S2</f>
        <v>0</v>
      </c>
      <c r="F42" s="43" t="n">
        <f aca="false">B42*E42</f>
        <v>0</v>
      </c>
      <c r="G42" s="43" t="n">
        <f aca="false">C42*E42/1000</f>
        <v>0</v>
      </c>
      <c r="H42" s="75" t="n">
        <f aca="false">F42/P1</f>
        <v>0</v>
      </c>
      <c r="I42" s="75" t="n">
        <f aca="false">G42/P1</f>
        <v>0</v>
      </c>
      <c r="J42" s="75" t="n">
        <f aca="false">F42*100/P4</f>
        <v>0</v>
      </c>
      <c r="K42" s="75" t="n">
        <f aca="false">G42*100/P5</f>
        <v>0</v>
      </c>
      <c r="L42" s="76" t="n">
        <f aca="false">(P4/B42)/S2</f>
        <v>146.666666666667</v>
      </c>
      <c r="M42" s="77" t="n">
        <f aca="false">(L42*S2*C42)/1000</f>
        <v>82.72</v>
      </c>
      <c r="N42" s="77" t="n">
        <f aca="false">P5-G42</f>
        <v>79.2</v>
      </c>
    </row>
    <row r="43" customFormat="false" ht="15.75" hidden="false" customHeight="true" outlineLevel="0" collapsed="false">
      <c r="A43" s="74" t="s">
        <v>221</v>
      </c>
      <c r="B43" s="74" t="n">
        <v>1</v>
      </c>
      <c r="C43" s="74" t="n">
        <v>65</v>
      </c>
      <c r="D43" s="4"/>
      <c r="E43" s="43" t="n">
        <f aca="false">D43*S2</f>
        <v>0</v>
      </c>
      <c r="F43" s="43" t="n">
        <f aca="false">B43*E43</f>
        <v>0</v>
      </c>
      <c r="G43" s="43" t="n">
        <f aca="false">C43*E43/1000</f>
        <v>0</v>
      </c>
      <c r="H43" s="75" t="n">
        <f aca="false">F43/P1</f>
        <v>0</v>
      </c>
      <c r="I43" s="75" t="n">
        <f aca="false">G43/P1</f>
        <v>0</v>
      </c>
      <c r="J43" s="75" t="n">
        <f aca="false">F43*100/P4</f>
        <v>0</v>
      </c>
      <c r="K43" s="75" t="n">
        <f aca="false">G43*100/P5</f>
        <v>0</v>
      </c>
      <c r="L43" s="76" t="n">
        <f aca="false">(P4/B43)/S2</f>
        <v>220</v>
      </c>
      <c r="M43" s="77" t="n">
        <f aca="false">(L43*S2*C43)/1000</f>
        <v>85.8</v>
      </c>
      <c r="N43" s="77" t="n">
        <f aca="false">P5-G43</f>
        <v>79.2</v>
      </c>
    </row>
    <row r="44" customFormat="false" ht="15.75" hidden="false" customHeight="true" outlineLevel="0" collapsed="false">
      <c r="A44" s="74" t="s">
        <v>222</v>
      </c>
      <c r="B44" s="74" t="n">
        <v>1.31</v>
      </c>
      <c r="C44" s="74" t="n">
        <v>66</v>
      </c>
      <c r="D44" s="4"/>
      <c r="E44" s="43" t="n">
        <f aca="false">D44*S2</f>
        <v>0</v>
      </c>
      <c r="F44" s="43" t="n">
        <f aca="false">B44*E44</f>
        <v>0</v>
      </c>
      <c r="G44" s="43" t="n">
        <f aca="false">C44*E44/1000</f>
        <v>0</v>
      </c>
      <c r="H44" s="75" t="n">
        <f aca="false">F44/P1</f>
        <v>0</v>
      </c>
      <c r="I44" s="75" t="n">
        <f aca="false">G44/P1</f>
        <v>0</v>
      </c>
      <c r="J44" s="75" t="n">
        <f aca="false">F44*100/P4</f>
        <v>0</v>
      </c>
      <c r="K44" s="75" t="n">
        <f aca="false">G44*100/P5</f>
        <v>0</v>
      </c>
      <c r="L44" s="76" t="n">
        <f aca="false">(P4/B44)/S2</f>
        <v>167.93893129771</v>
      </c>
      <c r="M44" s="77" t="n">
        <f aca="false">(L44*S2*C44)/1000</f>
        <v>66.5038167938931</v>
      </c>
      <c r="N44" s="77" t="n">
        <f aca="false">P5-G44</f>
        <v>79.2</v>
      </c>
    </row>
    <row r="45" customFormat="false" ht="15.75" hidden="false" customHeight="true" outlineLevel="0" collapsed="false">
      <c r="A45" s="74" t="s">
        <v>223</v>
      </c>
      <c r="B45" s="74" t="n">
        <v>1</v>
      </c>
      <c r="C45" s="74" t="n">
        <v>41</v>
      </c>
      <c r="D45" s="4"/>
      <c r="E45" s="43" t="n">
        <f aca="false">D45*S2</f>
        <v>0</v>
      </c>
      <c r="F45" s="43" t="n">
        <f aca="false">B45*E45</f>
        <v>0</v>
      </c>
      <c r="G45" s="43" t="n">
        <f aca="false">C45*E45/1000</f>
        <v>0</v>
      </c>
      <c r="H45" s="75" t="n">
        <f aca="false">F45/P1</f>
        <v>0</v>
      </c>
      <c r="I45" s="75" t="n">
        <f aca="false">G45/P1</f>
        <v>0</v>
      </c>
      <c r="J45" s="75" t="n">
        <f aca="false">F45*100/P4</f>
        <v>0</v>
      </c>
      <c r="K45" s="75" t="n">
        <f aca="false">G45*100/P5</f>
        <v>0</v>
      </c>
      <c r="L45" s="76" t="n">
        <f aca="false">(P4/B45)/S2</f>
        <v>220</v>
      </c>
      <c r="M45" s="77" t="n">
        <f aca="false">(L45*S2*C45)/1000</f>
        <v>54.12</v>
      </c>
      <c r="N45" s="77" t="n">
        <f aca="false">P5-G45</f>
        <v>79.2</v>
      </c>
    </row>
    <row r="46" customFormat="false" ht="15.75" hidden="false" customHeight="true" outlineLevel="0" collapsed="false">
      <c r="A46" s="74" t="s">
        <v>224</v>
      </c>
      <c r="B46" s="74" t="n">
        <v>1</v>
      </c>
      <c r="C46" s="74" t="n">
        <v>92</v>
      </c>
      <c r="D46" s="4" t="n">
        <v>20</v>
      </c>
      <c r="E46" s="43" t="n">
        <f aca="false">D46*S2</f>
        <v>120</v>
      </c>
      <c r="F46" s="43" t="n">
        <f aca="false">B46*E46</f>
        <v>120</v>
      </c>
      <c r="G46" s="43" t="n">
        <f aca="false">C46*E46/1000</f>
        <v>11.04</v>
      </c>
      <c r="H46" s="75" t="n">
        <f aca="false">F46/P1</f>
        <v>1.76470588235294</v>
      </c>
      <c r="I46" s="75" t="n">
        <f aca="false">G46/P1</f>
        <v>0.162352941176471</v>
      </c>
      <c r="J46" s="75" t="n">
        <f aca="false">F46*100/P4</f>
        <v>9.09090909090909</v>
      </c>
      <c r="K46" s="75" t="n">
        <f aca="false">G46*100/P5</f>
        <v>13.9393939393939</v>
      </c>
      <c r="L46" s="76" t="n">
        <f aca="false">(P4/B46)/S2</f>
        <v>220</v>
      </c>
      <c r="M46" s="77" t="n">
        <f aca="false">(L46*S2*C46)/1000</f>
        <v>121.44</v>
      </c>
      <c r="N46" s="77" t="n">
        <f aca="false">P5-G46</f>
        <v>68.16</v>
      </c>
    </row>
    <row r="47" customFormat="false" ht="15.75" hidden="false" customHeight="true" outlineLevel="0" collapsed="false">
      <c r="A47" s="74" t="s">
        <v>225</v>
      </c>
      <c r="B47" s="74" t="n">
        <v>1.5</v>
      </c>
      <c r="C47" s="74" t="n">
        <v>68</v>
      </c>
      <c r="D47" s="4"/>
      <c r="E47" s="43" t="n">
        <f aca="false">D47*S2</f>
        <v>0</v>
      </c>
      <c r="F47" s="43" t="n">
        <f aca="false">B47*E47</f>
        <v>0</v>
      </c>
      <c r="G47" s="43" t="n">
        <f aca="false">C47*E47/1000</f>
        <v>0</v>
      </c>
      <c r="H47" s="75" t="n">
        <f aca="false">F47/P1</f>
        <v>0</v>
      </c>
      <c r="I47" s="75" t="n">
        <f aca="false">G47/P1</f>
        <v>0</v>
      </c>
      <c r="J47" s="75" t="n">
        <f aca="false">F47*100/P4</f>
        <v>0</v>
      </c>
      <c r="K47" s="75" t="n">
        <f aca="false">G47*100/P5</f>
        <v>0</v>
      </c>
      <c r="L47" s="76" t="n">
        <f aca="false">(P4/B47)/S2</f>
        <v>146.666666666667</v>
      </c>
      <c r="M47" s="77" t="n">
        <f aca="false">(L47*S2*C47)/1000</f>
        <v>59.84</v>
      </c>
      <c r="N47" s="77" t="n">
        <f aca="false">P5-G47</f>
        <v>79.2</v>
      </c>
    </row>
    <row r="48" customFormat="false" ht="15.75" hidden="false" customHeight="true" outlineLevel="0" collapsed="false">
      <c r="A48" s="74" t="s">
        <v>226</v>
      </c>
      <c r="B48" s="74" t="n">
        <v>1</v>
      </c>
      <c r="C48" s="74" t="n">
        <v>45</v>
      </c>
      <c r="D48" s="4"/>
      <c r="E48" s="43" t="n">
        <f aca="false">D48*S2</f>
        <v>0</v>
      </c>
      <c r="F48" s="43" t="n">
        <f aca="false">B48*E48</f>
        <v>0</v>
      </c>
      <c r="G48" s="43" t="n">
        <f aca="false">C48*E48/1000</f>
        <v>0</v>
      </c>
      <c r="H48" s="75" t="n">
        <f aca="false">F48/P1</f>
        <v>0</v>
      </c>
      <c r="I48" s="75" t="n">
        <f aca="false">G48/P1</f>
        <v>0</v>
      </c>
      <c r="J48" s="75" t="n">
        <f aca="false">F48*100/P4</f>
        <v>0</v>
      </c>
      <c r="K48" s="75" t="n">
        <f aca="false">G48*100/P5</f>
        <v>0</v>
      </c>
      <c r="L48" s="76" t="n">
        <f aca="false">(P4/B48)/S2</f>
        <v>220</v>
      </c>
      <c r="M48" s="77" t="n">
        <f aca="false">(L48*S2*C48)/1000</f>
        <v>59.4</v>
      </c>
      <c r="N48" s="77" t="n">
        <f aca="false">P5-G48</f>
        <v>79.2</v>
      </c>
    </row>
    <row r="49" customFormat="false" ht="15.75" hidden="false" customHeight="true" outlineLevel="0" collapsed="false">
      <c r="A49" s="74" t="s">
        <v>227</v>
      </c>
      <c r="B49" s="74" t="n">
        <v>1.33</v>
      </c>
      <c r="C49" s="74" t="n">
        <v>67</v>
      </c>
      <c r="D49" s="4"/>
      <c r="E49" s="43" t="n">
        <f aca="false">D49*S2</f>
        <v>0</v>
      </c>
      <c r="F49" s="43" t="n">
        <f aca="false">B49*E49</f>
        <v>0</v>
      </c>
      <c r="G49" s="43" t="n">
        <f aca="false">C49*E49/1000</f>
        <v>0</v>
      </c>
      <c r="H49" s="75" t="n">
        <f aca="false">F49/P1</f>
        <v>0</v>
      </c>
      <c r="I49" s="75" t="n">
        <f aca="false">G49/P1</f>
        <v>0</v>
      </c>
      <c r="J49" s="75" t="n">
        <f aca="false">F49*100/P4</f>
        <v>0</v>
      </c>
      <c r="K49" s="75" t="n">
        <f aca="false">G49*100/P5</f>
        <v>0</v>
      </c>
      <c r="L49" s="76" t="n">
        <f aca="false">(P4/B49)/S2</f>
        <v>165.413533834586</v>
      </c>
      <c r="M49" s="77" t="n">
        <f aca="false">(L49*S2*C49)/1000</f>
        <v>66.4962406015037</v>
      </c>
      <c r="N49" s="77" t="n">
        <f aca="false">P5-G49</f>
        <v>79.2</v>
      </c>
    </row>
    <row r="50" customFormat="false" ht="15.75" hidden="false" customHeight="true" outlineLevel="0" collapsed="false">
      <c r="A50" s="74" t="s">
        <v>228</v>
      </c>
      <c r="B50" s="74" t="n">
        <v>1</v>
      </c>
      <c r="C50" s="74" t="n">
        <v>36</v>
      </c>
      <c r="D50" s="4"/>
      <c r="E50" s="43" t="n">
        <f aca="false">D50*S2</f>
        <v>0</v>
      </c>
      <c r="F50" s="43" t="n">
        <f aca="false">B50*E50</f>
        <v>0</v>
      </c>
      <c r="G50" s="43" t="n">
        <f aca="false">C50*E50/1000</f>
        <v>0</v>
      </c>
      <c r="H50" s="75" t="n">
        <f aca="false">F50/P1</f>
        <v>0</v>
      </c>
      <c r="I50" s="75" t="n">
        <f aca="false">G50/P1</f>
        <v>0</v>
      </c>
      <c r="J50" s="75" t="n">
        <f aca="false">F50*100/P4</f>
        <v>0</v>
      </c>
      <c r="K50" s="75" t="n">
        <f aca="false">G50*100/P5</f>
        <v>0</v>
      </c>
      <c r="L50" s="76" t="n">
        <f aca="false">(P4/B50)/S2</f>
        <v>220</v>
      </c>
      <c r="M50" s="77" t="n">
        <f aca="false">(L50*S2*C50)/1000</f>
        <v>47.52</v>
      </c>
      <c r="N50" s="77" t="n">
        <f aca="false">P5-G50</f>
        <v>79.2</v>
      </c>
    </row>
    <row r="51" customFormat="false" ht="15.75" hidden="false" customHeight="true" outlineLevel="0" collapsed="false">
      <c r="A51" s="74" t="s">
        <v>229</v>
      </c>
      <c r="B51" s="74" t="n">
        <v>1</v>
      </c>
      <c r="C51" s="74" t="n">
        <v>40</v>
      </c>
      <c r="D51" s="4"/>
      <c r="E51" s="43" t="n">
        <f aca="false">D51*S2</f>
        <v>0</v>
      </c>
      <c r="F51" s="43" t="n">
        <f aca="false">B51*E51</f>
        <v>0</v>
      </c>
      <c r="G51" s="43" t="n">
        <f aca="false">C51*E51/1000</f>
        <v>0</v>
      </c>
      <c r="H51" s="75" t="n">
        <f aca="false">F51/P1</f>
        <v>0</v>
      </c>
      <c r="I51" s="75" t="n">
        <f aca="false">G51/P1</f>
        <v>0</v>
      </c>
      <c r="J51" s="75" t="n">
        <f aca="false">F51*100/P4</f>
        <v>0</v>
      </c>
      <c r="K51" s="75" t="n">
        <f aca="false">G51*100/P5</f>
        <v>0</v>
      </c>
      <c r="L51" s="76" t="n">
        <f aca="false">(P4/B51)/S2</f>
        <v>220</v>
      </c>
      <c r="M51" s="77" t="n">
        <f aca="false">(L51*S2*C51)/1000</f>
        <v>52.8</v>
      </c>
      <c r="N51" s="77" t="n">
        <f aca="false">P5-G51</f>
        <v>79.2</v>
      </c>
    </row>
    <row r="52" customFormat="false" ht="15.75" hidden="false" customHeight="true" outlineLevel="0" collapsed="false">
      <c r="D52" s="13"/>
    </row>
    <row r="53" customFormat="false" ht="15.75" hidden="false" customHeight="true" outlineLevel="0" collapsed="false">
      <c r="D53" s="13"/>
    </row>
    <row r="54" customFormat="false" ht="15.75" hidden="false" customHeight="true" outlineLevel="0" collapsed="false">
      <c r="D54" s="13"/>
    </row>
    <row r="55" customFormat="false" ht="15.75" hidden="false" customHeight="true" outlineLevel="0" collapsed="false">
      <c r="D55" s="13"/>
    </row>
    <row r="56" customFormat="false" ht="15.75" hidden="false" customHeight="true" outlineLevel="0" collapsed="false">
      <c r="D56" s="13"/>
    </row>
    <row r="57" customFormat="false" ht="15.75" hidden="false" customHeight="true" outlineLevel="0" collapsed="false">
      <c r="D57" s="13"/>
    </row>
    <row r="58" customFormat="false" ht="15.75" hidden="false" customHeight="true" outlineLevel="0" collapsed="false">
      <c r="D58" s="13"/>
    </row>
    <row r="59" customFormat="false" ht="15.75" hidden="false" customHeight="true" outlineLevel="0" collapsed="false">
      <c r="D59" s="13"/>
    </row>
    <row r="60" customFormat="false" ht="15.75" hidden="false" customHeight="true" outlineLevel="0" collapsed="false">
      <c r="D60" s="13"/>
    </row>
    <row r="61" customFormat="false" ht="15.75" hidden="false" customHeight="true" outlineLevel="0" collapsed="false">
      <c r="D61" s="13"/>
    </row>
    <row r="62" customFormat="false" ht="15.75" hidden="false" customHeight="true" outlineLevel="0" collapsed="false">
      <c r="D62" s="13"/>
    </row>
    <row r="63" customFormat="false" ht="15.75" hidden="false" customHeight="true" outlineLevel="0" collapsed="false">
      <c r="D63" s="13"/>
    </row>
    <row r="64" customFormat="false" ht="15.75" hidden="false" customHeight="true" outlineLevel="0" collapsed="false">
      <c r="D64" s="13"/>
    </row>
    <row r="65" customFormat="false" ht="15.75" hidden="false" customHeight="true" outlineLevel="0" collapsed="false">
      <c r="D65" s="13"/>
    </row>
    <row r="66" customFormat="false" ht="15.75" hidden="false" customHeight="true" outlineLevel="0" collapsed="false">
      <c r="D66" s="13"/>
    </row>
    <row r="67" customFormat="false" ht="15.75" hidden="false" customHeight="true" outlineLevel="0" collapsed="false">
      <c r="D67" s="13"/>
    </row>
    <row r="68" customFormat="false" ht="15.75" hidden="false" customHeight="true" outlineLevel="0" collapsed="false">
      <c r="D68" s="13"/>
    </row>
    <row r="69" customFormat="false" ht="15.75" hidden="false" customHeight="true" outlineLevel="0" collapsed="false">
      <c r="D69" s="13"/>
    </row>
    <row r="70" customFormat="false" ht="15.75" hidden="false" customHeight="true" outlineLevel="0" collapsed="false">
      <c r="D70" s="13"/>
    </row>
    <row r="71" customFormat="false" ht="15.75" hidden="false" customHeight="true" outlineLevel="0" collapsed="false">
      <c r="D71" s="13"/>
    </row>
    <row r="72" customFormat="false" ht="15.75" hidden="false" customHeight="true" outlineLevel="0" collapsed="false">
      <c r="D72" s="13"/>
    </row>
    <row r="73" customFormat="false" ht="15.75" hidden="false" customHeight="true" outlineLevel="0" collapsed="false">
      <c r="D73" s="13"/>
    </row>
    <row r="74" customFormat="false" ht="15.75" hidden="false" customHeight="true" outlineLevel="0" collapsed="false">
      <c r="D74" s="13"/>
    </row>
    <row r="75" customFormat="false" ht="15.75" hidden="false" customHeight="true" outlineLevel="0" collapsed="false">
      <c r="D75" s="13"/>
    </row>
    <row r="76" customFormat="false" ht="15.75" hidden="false" customHeight="true" outlineLevel="0" collapsed="false">
      <c r="D76" s="13"/>
    </row>
    <row r="77" customFormat="false" ht="15.75" hidden="false" customHeight="true" outlineLevel="0" collapsed="false">
      <c r="D77" s="13"/>
    </row>
    <row r="78" customFormat="false" ht="15.75" hidden="false" customHeight="true" outlineLevel="0" collapsed="false">
      <c r="D78" s="13"/>
    </row>
    <row r="79" customFormat="false" ht="15.75" hidden="false" customHeight="true" outlineLevel="0" collapsed="false">
      <c r="D79" s="13"/>
    </row>
    <row r="80" customFormat="false" ht="15.75" hidden="false" customHeight="true" outlineLevel="0" collapsed="false">
      <c r="D80" s="13"/>
    </row>
    <row r="81" customFormat="false" ht="15.75" hidden="false" customHeight="true" outlineLevel="0" collapsed="false">
      <c r="D81" s="13"/>
    </row>
    <row r="82" customFormat="false" ht="15.75" hidden="false" customHeight="true" outlineLevel="0" collapsed="false">
      <c r="D82" s="13"/>
    </row>
    <row r="83" customFormat="false" ht="15.75" hidden="false" customHeight="true" outlineLevel="0" collapsed="false">
      <c r="D83" s="13"/>
    </row>
    <row r="84" customFormat="false" ht="15.75" hidden="false" customHeight="true" outlineLevel="0" collapsed="false">
      <c r="D84" s="13"/>
    </row>
    <row r="85" customFormat="false" ht="15.75" hidden="false" customHeight="true" outlineLevel="0" collapsed="false">
      <c r="D85" s="13"/>
    </row>
    <row r="86" customFormat="false" ht="15.75" hidden="false" customHeight="true" outlineLevel="0" collapsed="false">
      <c r="D86" s="13"/>
    </row>
    <row r="87" customFormat="false" ht="15.75" hidden="false" customHeight="true" outlineLevel="0" collapsed="false">
      <c r="D87" s="13"/>
    </row>
    <row r="88" customFormat="false" ht="15.75" hidden="false" customHeight="true" outlineLevel="0" collapsed="false">
      <c r="D88" s="13"/>
    </row>
    <row r="89" customFormat="false" ht="15.75" hidden="false" customHeight="true" outlineLevel="0" collapsed="false">
      <c r="D89" s="13"/>
    </row>
    <row r="90" customFormat="false" ht="15.75" hidden="false" customHeight="true" outlineLevel="0" collapsed="false">
      <c r="D90" s="13"/>
    </row>
    <row r="91" customFormat="false" ht="15.75" hidden="false" customHeight="true" outlineLevel="0" collapsed="false">
      <c r="D91" s="13"/>
    </row>
    <row r="92" customFormat="false" ht="15.75" hidden="false" customHeight="true" outlineLevel="0" collapsed="false">
      <c r="D92" s="13"/>
    </row>
    <row r="93" customFormat="false" ht="15.75" hidden="false" customHeight="true" outlineLevel="0" collapsed="false">
      <c r="D93" s="13"/>
    </row>
    <row r="94" customFormat="false" ht="15.75" hidden="false" customHeight="true" outlineLevel="0" collapsed="false">
      <c r="D94" s="13"/>
    </row>
    <row r="95" customFormat="false" ht="15.75" hidden="false" customHeight="true" outlineLevel="0" collapsed="false">
      <c r="D95" s="13"/>
    </row>
    <row r="96" customFormat="false" ht="15.75" hidden="false" customHeight="true" outlineLevel="0" collapsed="false">
      <c r="D96" s="13"/>
    </row>
    <row r="97" customFormat="false" ht="15.75" hidden="false" customHeight="true" outlineLevel="0" collapsed="false">
      <c r="D97" s="13"/>
    </row>
    <row r="98" customFormat="false" ht="15.75" hidden="false" customHeight="true" outlineLevel="0" collapsed="false">
      <c r="D98" s="13"/>
    </row>
    <row r="99" customFormat="false" ht="15.75" hidden="false" customHeight="true" outlineLevel="0" collapsed="false">
      <c r="D99" s="13"/>
    </row>
    <row r="100" customFormat="false" ht="15.75" hidden="false" customHeight="true" outlineLevel="0" collapsed="false">
      <c r="D100" s="13"/>
    </row>
    <row r="101" customFormat="false" ht="15.75" hidden="false" customHeight="true" outlineLevel="0" collapsed="false">
      <c r="D101" s="13"/>
    </row>
    <row r="102" customFormat="false" ht="15.75" hidden="false" customHeight="true" outlineLevel="0" collapsed="false">
      <c r="D102" s="13"/>
    </row>
    <row r="103" customFormat="false" ht="15.75" hidden="false" customHeight="true" outlineLevel="0" collapsed="false">
      <c r="D103" s="13"/>
    </row>
    <row r="104" customFormat="false" ht="15.75" hidden="false" customHeight="true" outlineLevel="0" collapsed="false">
      <c r="D104" s="13"/>
    </row>
    <row r="105" customFormat="false" ht="15.75" hidden="false" customHeight="true" outlineLevel="0" collapsed="false">
      <c r="D105" s="13"/>
    </row>
    <row r="106" customFormat="false" ht="15.75" hidden="false" customHeight="true" outlineLevel="0" collapsed="false">
      <c r="D106" s="13"/>
    </row>
    <row r="107" customFormat="false" ht="15.75" hidden="false" customHeight="true" outlineLevel="0" collapsed="false">
      <c r="D107" s="13"/>
    </row>
    <row r="108" customFormat="false" ht="15.75" hidden="false" customHeight="true" outlineLevel="0" collapsed="false">
      <c r="D108" s="13"/>
    </row>
    <row r="109" customFormat="false" ht="15.75" hidden="false" customHeight="true" outlineLevel="0" collapsed="false">
      <c r="D109" s="13"/>
    </row>
    <row r="110" customFormat="false" ht="15.75" hidden="false" customHeight="true" outlineLevel="0" collapsed="false">
      <c r="D110" s="13"/>
    </row>
    <row r="111" customFormat="false" ht="15.75" hidden="false" customHeight="true" outlineLevel="0" collapsed="false">
      <c r="D111" s="13"/>
    </row>
    <row r="112" customFormat="false" ht="15.75" hidden="false" customHeight="true" outlineLevel="0" collapsed="false">
      <c r="D112" s="13"/>
    </row>
    <row r="113" customFormat="false" ht="15.75" hidden="false" customHeight="true" outlineLevel="0" collapsed="false">
      <c r="D113" s="13"/>
    </row>
    <row r="114" customFormat="false" ht="15.75" hidden="false" customHeight="true" outlineLevel="0" collapsed="false">
      <c r="D114" s="13"/>
    </row>
    <row r="115" customFormat="false" ht="15.75" hidden="false" customHeight="true" outlineLevel="0" collapsed="false">
      <c r="D115" s="13"/>
    </row>
    <row r="116" customFormat="false" ht="15.75" hidden="false" customHeight="true" outlineLevel="0" collapsed="false">
      <c r="D116" s="13"/>
    </row>
    <row r="117" customFormat="false" ht="15.75" hidden="false" customHeight="true" outlineLevel="0" collapsed="false">
      <c r="D117" s="13"/>
    </row>
    <row r="118" customFormat="false" ht="15.75" hidden="false" customHeight="true" outlineLevel="0" collapsed="false">
      <c r="D118" s="13"/>
    </row>
    <row r="119" customFormat="false" ht="15.75" hidden="false" customHeight="true" outlineLevel="0" collapsed="false">
      <c r="D119" s="13"/>
    </row>
    <row r="120" customFormat="false" ht="15.75" hidden="false" customHeight="true" outlineLevel="0" collapsed="false">
      <c r="D120" s="13"/>
    </row>
    <row r="121" customFormat="false" ht="15.75" hidden="false" customHeight="true" outlineLevel="0" collapsed="false">
      <c r="D121" s="13"/>
    </row>
    <row r="122" customFormat="false" ht="15.75" hidden="false" customHeight="true" outlineLevel="0" collapsed="false">
      <c r="D122" s="13"/>
    </row>
    <row r="123" customFormat="false" ht="15.75" hidden="false" customHeight="true" outlineLevel="0" collapsed="false">
      <c r="D123" s="13"/>
    </row>
    <row r="124" customFormat="false" ht="15.75" hidden="false" customHeight="true" outlineLevel="0" collapsed="false">
      <c r="D124" s="13"/>
    </row>
    <row r="125" customFormat="false" ht="15.75" hidden="false" customHeight="true" outlineLevel="0" collapsed="false">
      <c r="D125" s="13"/>
    </row>
    <row r="126" customFormat="false" ht="15.75" hidden="false" customHeight="true" outlineLevel="0" collapsed="false">
      <c r="D126" s="13"/>
    </row>
    <row r="127" customFormat="false" ht="15.75" hidden="false" customHeight="true" outlineLevel="0" collapsed="false">
      <c r="D127" s="13"/>
    </row>
    <row r="128" customFormat="false" ht="15.75" hidden="false" customHeight="true" outlineLevel="0" collapsed="false">
      <c r="D128" s="13"/>
    </row>
    <row r="129" customFormat="false" ht="15.75" hidden="false" customHeight="true" outlineLevel="0" collapsed="false">
      <c r="D129" s="13"/>
    </row>
    <row r="130" customFormat="false" ht="15.75" hidden="false" customHeight="true" outlineLevel="0" collapsed="false">
      <c r="D130" s="13"/>
    </row>
    <row r="131" customFormat="false" ht="15.75" hidden="false" customHeight="true" outlineLevel="0" collapsed="false">
      <c r="D131" s="13"/>
    </row>
    <row r="132" customFormat="false" ht="15.75" hidden="false" customHeight="true" outlineLevel="0" collapsed="false">
      <c r="D132" s="13"/>
    </row>
    <row r="133" customFormat="false" ht="15.75" hidden="false" customHeight="true" outlineLevel="0" collapsed="false">
      <c r="D133" s="13"/>
    </row>
    <row r="134" customFormat="false" ht="15.75" hidden="false" customHeight="true" outlineLevel="0" collapsed="false">
      <c r="D134" s="13"/>
    </row>
    <row r="135" customFormat="false" ht="15.75" hidden="false" customHeight="true" outlineLevel="0" collapsed="false">
      <c r="D135" s="13"/>
    </row>
    <row r="136" customFormat="false" ht="15.75" hidden="false" customHeight="true" outlineLevel="0" collapsed="false">
      <c r="D136" s="13"/>
    </row>
    <row r="137" customFormat="false" ht="15.75" hidden="false" customHeight="true" outlineLevel="0" collapsed="false">
      <c r="D137" s="13"/>
    </row>
    <row r="138" customFormat="false" ht="15.75" hidden="false" customHeight="true" outlineLevel="0" collapsed="false">
      <c r="D138" s="13"/>
    </row>
    <row r="139" customFormat="false" ht="15.75" hidden="false" customHeight="true" outlineLevel="0" collapsed="false">
      <c r="D139" s="13"/>
    </row>
    <row r="140" customFormat="false" ht="15.75" hidden="false" customHeight="true" outlineLevel="0" collapsed="false">
      <c r="D140" s="13"/>
    </row>
    <row r="141" customFormat="false" ht="15.75" hidden="false" customHeight="true" outlineLevel="0" collapsed="false">
      <c r="D141" s="13"/>
    </row>
    <row r="142" customFormat="false" ht="15.75" hidden="false" customHeight="true" outlineLevel="0" collapsed="false">
      <c r="D142" s="13"/>
    </row>
    <row r="143" customFormat="false" ht="15.75" hidden="false" customHeight="true" outlineLevel="0" collapsed="false">
      <c r="D143" s="13"/>
    </row>
    <row r="144" customFormat="false" ht="15.75" hidden="false" customHeight="true" outlineLevel="0" collapsed="false">
      <c r="D144" s="13"/>
    </row>
    <row r="145" customFormat="false" ht="15.75" hidden="false" customHeight="true" outlineLevel="0" collapsed="false">
      <c r="D145" s="13"/>
    </row>
    <row r="146" customFormat="false" ht="15.75" hidden="false" customHeight="true" outlineLevel="0" collapsed="false">
      <c r="D146" s="13"/>
    </row>
    <row r="147" customFormat="false" ht="15.75" hidden="false" customHeight="true" outlineLevel="0" collapsed="false">
      <c r="D147" s="13"/>
    </row>
    <row r="148" customFormat="false" ht="15.75" hidden="false" customHeight="true" outlineLevel="0" collapsed="false">
      <c r="D148" s="13"/>
    </row>
    <row r="149" customFormat="false" ht="15.75" hidden="false" customHeight="true" outlineLevel="0" collapsed="false">
      <c r="D149" s="13"/>
    </row>
    <row r="150" customFormat="false" ht="15.75" hidden="false" customHeight="true" outlineLevel="0" collapsed="false">
      <c r="D150" s="13"/>
    </row>
    <row r="151" customFormat="false" ht="15.75" hidden="false" customHeight="true" outlineLevel="0" collapsed="false">
      <c r="D151" s="13"/>
    </row>
    <row r="152" customFormat="false" ht="15.75" hidden="false" customHeight="true" outlineLevel="0" collapsed="false">
      <c r="D152" s="13"/>
    </row>
    <row r="153" customFormat="false" ht="15.75" hidden="false" customHeight="true" outlineLevel="0" collapsed="false">
      <c r="D153" s="13"/>
    </row>
    <row r="154" customFormat="false" ht="15.75" hidden="false" customHeight="true" outlineLevel="0" collapsed="false">
      <c r="D154" s="13"/>
    </row>
    <row r="155" customFormat="false" ht="15.75" hidden="false" customHeight="true" outlineLevel="0" collapsed="false">
      <c r="D155" s="13"/>
    </row>
    <row r="156" customFormat="false" ht="15.75" hidden="false" customHeight="true" outlineLevel="0" collapsed="false">
      <c r="D156" s="13"/>
    </row>
    <row r="157" customFormat="false" ht="15.75" hidden="false" customHeight="true" outlineLevel="0" collapsed="false">
      <c r="D157" s="13"/>
    </row>
    <row r="158" customFormat="false" ht="15.75" hidden="false" customHeight="true" outlineLevel="0" collapsed="false">
      <c r="D158" s="13"/>
    </row>
    <row r="159" customFormat="false" ht="15.75" hidden="false" customHeight="true" outlineLevel="0" collapsed="false">
      <c r="D159" s="13"/>
    </row>
    <row r="160" customFormat="false" ht="15.75" hidden="false" customHeight="true" outlineLevel="0" collapsed="false">
      <c r="D160" s="13"/>
    </row>
    <row r="161" customFormat="false" ht="15.75" hidden="false" customHeight="true" outlineLevel="0" collapsed="false">
      <c r="D161" s="13"/>
    </row>
    <row r="162" customFormat="false" ht="15.75" hidden="false" customHeight="true" outlineLevel="0" collapsed="false">
      <c r="D162" s="13"/>
    </row>
    <row r="163" customFormat="false" ht="15.75" hidden="false" customHeight="true" outlineLevel="0" collapsed="false">
      <c r="D163" s="13"/>
    </row>
    <row r="164" customFormat="false" ht="15.75" hidden="false" customHeight="true" outlineLevel="0" collapsed="false">
      <c r="D164" s="13"/>
    </row>
    <row r="165" customFormat="false" ht="15.75" hidden="false" customHeight="true" outlineLevel="0" collapsed="false">
      <c r="D165" s="13"/>
    </row>
    <row r="166" customFormat="false" ht="15.75" hidden="false" customHeight="true" outlineLevel="0" collapsed="false">
      <c r="D166" s="13"/>
    </row>
    <row r="167" customFormat="false" ht="15.75" hidden="false" customHeight="true" outlineLevel="0" collapsed="false">
      <c r="D167" s="13"/>
    </row>
    <row r="168" customFormat="false" ht="15.75" hidden="false" customHeight="true" outlineLevel="0" collapsed="false">
      <c r="D168" s="13"/>
    </row>
    <row r="169" customFormat="false" ht="15.75" hidden="false" customHeight="true" outlineLevel="0" collapsed="false">
      <c r="D169" s="13"/>
    </row>
    <row r="170" customFormat="false" ht="15.75" hidden="false" customHeight="true" outlineLevel="0" collapsed="false">
      <c r="D170" s="13"/>
    </row>
    <row r="171" customFormat="false" ht="15.75" hidden="false" customHeight="true" outlineLevel="0" collapsed="false">
      <c r="D171" s="13"/>
    </row>
    <row r="172" customFormat="false" ht="15.75" hidden="false" customHeight="true" outlineLevel="0" collapsed="false">
      <c r="D172" s="13"/>
    </row>
    <row r="173" customFormat="false" ht="15.75" hidden="false" customHeight="true" outlineLevel="0" collapsed="false">
      <c r="D173" s="13"/>
    </row>
    <row r="174" customFormat="false" ht="15.75" hidden="false" customHeight="true" outlineLevel="0" collapsed="false">
      <c r="D174" s="13"/>
    </row>
    <row r="175" customFormat="false" ht="15.75" hidden="false" customHeight="true" outlineLevel="0" collapsed="false">
      <c r="D175" s="13"/>
    </row>
    <row r="176" customFormat="false" ht="15.75" hidden="false" customHeight="true" outlineLevel="0" collapsed="false">
      <c r="D176" s="13"/>
    </row>
    <row r="177" customFormat="false" ht="15.75" hidden="false" customHeight="true" outlineLevel="0" collapsed="false">
      <c r="D177" s="13"/>
    </row>
    <row r="178" customFormat="false" ht="15.75" hidden="false" customHeight="true" outlineLevel="0" collapsed="false">
      <c r="D178" s="13"/>
    </row>
    <row r="179" customFormat="false" ht="15.75" hidden="false" customHeight="true" outlineLevel="0" collapsed="false">
      <c r="D179" s="13"/>
    </row>
    <row r="180" customFormat="false" ht="15.75" hidden="false" customHeight="true" outlineLevel="0" collapsed="false">
      <c r="D180" s="13"/>
    </row>
    <row r="181" customFormat="false" ht="15.75" hidden="false" customHeight="true" outlineLevel="0" collapsed="false">
      <c r="D181" s="13"/>
    </row>
    <row r="182" customFormat="false" ht="15.75" hidden="false" customHeight="true" outlineLevel="0" collapsed="false">
      <c r="D182" s="13"/>
    </row>
    <row r="183" customFormat="false" ht="15.75" hidden="false" customHeight="true" outlineLevel="0" collapsed="false">
      <c r="D183" s="13"/>
    </row>
    <row r="184" customFormat="false" ht="15.75" hidden="false" customHeight="true" outlineLevel="0" collapsed="false">
      <c r="D184" s="13"/>
    </row>
    <row r="185" customFormat="false" ht="15.75" hidden="false" customHeight="true" outlineLevel="0" collapsed="false">
      <c r="D185" s="13"/>
    </row>
    <row r="186" customFormat="false" ht="15.75" hidden="false" customHeight="true" outlineLevel="0" collapsed="false">
      <c r="D186" s="13"/>
    </row>
    <row r="187" customFormat="false" ht="15.75" hidden="false" customHeight="true" outlineLevel="0" collapsed="false">
      <c r="D187" s="13"/>
    </row>
    <row r="188" customFormat="false" ht="15.75" hidden="false" customHeight="true" outlineLevel="0" collapsed="false">
      <c r="D188" s="13"/>
    </row>
    <row r="189" customFormat="false" ht="15.75" hidden="false" customHeight="true" outlineLevel="0" collapsed="false">
      <c r="D189" s="13"/>
    </row>
    <row r="190" customFormat="false" ht="15.75" hidden="false" customHeight="true" outlineLevel="0" collapsed="false">
      <c r="D190" s="13"/>
    </row>
    <row r="191" customFormat="false" ht="15.75" hidden="false" customHeight="true" outlineLevel="0" collapsed="false">
      <c r="D191" s="13"/>
    </row>
    <row r="192" customFormat="false" ht="15.75" hidden="false" customHeight="true" outlineLevel="0" collapsed="false">
      <c r="D192" s="13"/>
    </row>
    <row r="193" customFormat="false" ht="15.75" hidden="false" customHeight="true" outlineLevel="0" collapsed="false">
      <c r="D193" s="13"/>
    </row>
    <row r="194" customFormat="false" ht="15.75" hidden="false" customHeight="true" outlineLevel="0" collapsed="false">
      <c r="D194" s="13"/>
    </row>
    <row r="195" customFormat="false" ht="15.75" hidden="false" customHeight="true" outlineLevel="0" collapsed="false">
      <c r="D195" s="13"/>
    </row>
    <row r="196" customFormat="false" ht="15.75" hidden="false" customHeight="true" outlineLevel="0" collapsed="false">
      <c r="D196" s="13"/>
    </row>
    <row r="197" customFormat="false" ht="15.75" hidden="false" customHeight="true" outlineLevel="0" collapsed="false">
      <c r="D197" s="13"/>
    </row>
    <row r="198" customFormat="false" ht="15.75" hidden="false" customHeight="true" outlineLevel="0" collapsed="false">
      <c r="D198" s="13"/>
    </row>
    <row r="199" customFormat="false" ht="15.75" hidden="false" customHeight="true" outlineLevel="0" collapsed="false">
      <c r="D199" s="13"/>
    </row>
    <row r="200" customFormat="false" ht="15.75" hidden="false" customHeight="true" outlineLevel="0" collapsed="false">
      <c r="D200" s="13"/>
    </row>
    <row r="201" customFormat="false" ht="15.75" hidden="false" customHeight="true" outlineLevel="0" collapsed="false">
      <c r="D201" s="13"/>
    </row>
    <row r="202" customFormat="false" ht="15.75" hidden="false" customHeight="true" outlineLevel="0" collapsed="false">
      <c r="D202" s="13"/>
    </row>
    <row r="203" customFormat="false" ht="15.75" hidden="false" customHeight="true" outlineLevel="0" collapsed="false">
      <c r="D203" s="13"/>
    </row>
    <row r="204" customFormat="false" ht="15.75" hidden="false" customHeight="true" outlineLevel="0" collapsed="false">
      <c r="D204" s="13"/>
    </row>
    <row r="205" customFormat="false" ht="15.75" hidden="false" customHeight="true" outlineLevel="0" collapsed="false">
      <c r="D205" s="13"/>
    </row>
    <row r="206" customFormat="false" ht="15.75" hidden="false" customHeight="true" outlineLevel="0" collapsed="false">
      <c r="D206" s="13"/>
    </row>
    <row r="207" customFormat="false" ht="15.75" hidden="false" customHeight="true" outlineLevel="0" collapsed="false">
      <c r="D207" s="13"/>
    </row>
    <row r="208" customFormat="false" ht="15.75" hidden="false" customHeight="true" outlineLevel="0" collapsed="false">
      <c r="D208" s="13"/>
    </row>
    <row r="209" customFormat="false" ht="15.75" hidden="false" customHeight="true" outlineLevel="0" collapsed="false">
      <c r="D209" s="13"/>
    </row>
    <row r="210" customFormat="false" ht="15.75" hidden="false" customHeight="true" outlineLevel="0" collapsed="false">
      <c r="D210" s="13"/>
    </row>
    <row r="211" customFormat="false" ht="15.75" hidden="false" customHeight="true" outlineLevel="0" collapsed="false">
      <c r="D211" s="13"/>
    </row>
    <row r="212" customFormat="false" ht="15.75" hidden="false" customHeight="true" outlineLevel="0" collapsed="false">
      <c r="D212" s="13"/>
    </row>
    <row r="213" customFormat="false" ht="15.75" hidden="false" customHeight="true" outlineLevel="0" collapsed="false">
      <c r="D213" s="13"/>
    </row>
    <row r="214" customFormat="false" ht="15.75" hidden="false" customHeight="true" outlineLevel="0" collapsed="false">
      <c r="D214" s="13"/>
    </row>
    <row r="215" customFormat="false" ht="15.75" hidden="false" customHeight="true" outlineLevel="0" collapsed="false">
      <c r="D215" s="13"/>
    </row>
    <row r="216" customFormat="false" ht="15.75" hidden="false" customHeight="true" outlineLevel="0" collapsed="false">
      <c r="D216" s="13"/>
    </row>
    <row r="217" customFormat="false" ht="15.75" hidden="false" customHeight="true" outlineLevel="0" collapsed="false">
      <c r="D217" s="13"/>
    </row>
    <row r="218" customFormat="false" ht="15.75" hidden="false" customHeight="true" outlineLevel="0" collapsed="false">
      <c r="D218" s="13"/>
    </row>
    <row r="219" customFormat="false" ht="15.75" hidden="false" customHeight="true" outlineLevel="0" collapsed="false">
      <c r="D219" s="13"/>
    </row>
    <row r="220" customFormat="false" ht="15.75" hidden="false" customHeight="true" outlineLevel="0" collapsed="false">
      <c r="D220" s="13"/>
    </row>
    <row r="221" customFormat="false" ht="15.75" hidden="false" customHeight="true" outlineLevel="0" collapsed="false">
      <c r="D221" s="13"/>
    </row>
    <row r="222" customFormat="false" ht="15.75" hidden="false" customHeight="true" outlineLevel="0" collapsed="false">
      <c r="D222" s="13"/>
    </row>
    <row r="223" customFormat="false" ht="15.75" hidden="false" customHeight="true" outlineLevel="0" collapsed="false">
      <c r="D223" s="13"/>
    </row>
    <row r="224" customFormat="false" ht="15.75" hidden="false" customHeight="true" outlineLevel="0" collapsed="false">
      <c r="D224" s="13"/>
    </row>
    <row r="225" customFormat="false" ht="15.75" hidden="false" customHeight="true" outlineLevel="0" collapsed="false">
      <c r="D225" s="13"/>
    </row>
    <row r="226" customFormat="false" ht="15.75" hidden="false" customHeight="true" outlineLevel="0" collapsed="false">
      <c r="D226" s="13"/>
    </row>
    <row r="227" customFormat="false" ht="15.75" hidden="false" customHeight="true" outlineLevel="0" collapsed="false">
      <c r="D227" s="13"/>
    </row>
    <row r="228" customFormat="false" ht="15.75" hidden="false" customHeight="true" outlineLevel="0" collapsed="false">
      <c r="D228" s="13"/>
    </row>
    <row r="229" customFormat="false" ht="15.75" hidden="false" customHeight="true" outlineLevel="0" collapsed="false">
      <c r="D229" s="13"/>
    </row>
    <row r="230" customFormat="false" ht="15.75" hidden="false" customHeight="true" outlineLevel="0" collapsed="false">
      <c r="D230" s="13"/>
    </row>
    <row r="231" customFormat="false" ht="15.75" hidden="false" customHeight="true" outlineLevel="0" collapsed="false">
      <c r="D231" s="13"/>
    </row>
    <row r="232" customFormat="false" ht="15.75" hidden="false" customHeight="true" outlineLevel="0" collapsed="false">
      <c r="D232" s="13"/>
    </row>
    <row r="233" customFormat="false" ht="15.75" hidden="false" customHeight="true" outlineLevel="0" collapsed="false">
      <c r="D233" s="13"/>
    </row>
    <row r="234" customFormat="false" ht="15.75" hidden="false" customHeight="true" outlineLevel="0" collapsed="false">
      <c r="D234" s="13"/>
    </row>
    <row r="235" customFormat="false" ht="15.75" hidden="false" customHeight="true" outlineLevel="0" collapsed="false">
      <c r="D235" s="13"/>
    </row>
    <row r="236" customFormat="false" ht="15.75" hidden="false" customHeight="true" outlineLevel="0" collapsed="false">
      <c r="D236" s="13"/>
    </row>
    <row r="237" customFormat="false" ht="15.75" hidden="false" customHeight="true" outlineLevel="0" collapsed="false">
      <c r="D237" s="13"/>
    </row>
    <row r="238" customFormat="false" ht="15.75" hidden="false" customHeight="true" outlineLevel="0" collapsed="false">
      <c r="D238" s="13"/>
    </row>
    <row r="239" customFormat="false" ht="15.75" hidden="false" customHeight="true" outlineLevel="0" collapsed="false">
      <c r="D239" s="13"/>
    </row>
    <row r="240" customFormat="false" ht="15.75" hidden="false" customHeight="true" outlineLevel="0" collapsed="false">
      <c r="D240" s="13"/>
    </row>
    <row r="241" customFormat="false" ht="15.75" hidden="false" customHeight="true" outlineLevel="0" collapsed="false">
      <c r="D241" s="13"/>
    </row>
    <row r="242" customFormat="false" ht="15.75" hidden="false" customHeight="true" outlineLevel="0" collapsed="false">
      <c r="D242" s="13"/>
    </row>
    <row r="243" customFormat="false" ht="15.75" hidden="false" customHeight="true" outlineLevel="0" collapsed="false">
      <c r="D243" s="13"/>
    </row>
    <row r="244" customFormat="false" ht="15.75" hidden="false" customHeight="true" outlineLevel="0" collapsed="false">
      <c r="D244" s="13"/>
    </row>
    <row r="245" customFormat="false" ht="15.75" hidden="false" customHeight="true" outlineLevel="0" collapsed="false">
      <c r="D245" s="13"/>
    </row>
    <row r="246" customFormat="false" ht="15.75" hidden="false" customHeight="true" outlineLevel="0" collapsed="false">
      <c r="D246" s="13"/>
    </row>
    <row r="247" customFormat="false" ht="15.75" hidden="false" customHeight="true" outlineLevel="0" collapsed="false">
      <c r="D247" s="13"/>
    </row>
    <row r="248" customFormat="false" ht="15.75" hidden="false" customHeight="true" outlineLevel="0" collapsed="false">
      <c r="D248" s="13"/>
    </row>
    <row r="249" customFormat="false" ht="15.75" hidden="false" customHeight="true" outlineLevel="0" collapsed="false">
      <c r="D249" s="13"/>
    </row>
    <row r="250" customFormat="false" ht="15.75" hidden="false" customHeight="true" outlineLevel="0" collapsed="false">
      <c r="D250" s="13"/>
    </row>
    <row r="251" customFormat="false" ht="15.75" hidden="false" customHeight="true" outlineLevel="0" collapsed="false">
      <c r="D251" s="13"/>
    </row>
    <row r="252" customFormat="false" ht="15.75" hidden="false" customHeight="true" outlineLevel="0" collapsed="false">
      <c r="D252" s="13"/>
    </row>
    <row r="253" customFormat="false" ht="15.75" hidden="false" customHeight="true" outlineLevel="0" collapsed="false">
      <c r="D253" s="13"/>
    </row>
    <row r="254" customFormat="false" ht="15.75" hidden="false" customHeight="true" outlineLevel="0" collapsed="false">
      <c r="D254" s="13"/>
    </row>
    <row r="255" customFormat="false" ht="15.75" hidden="false" customHeight="true" outlineLevel="0" collapsed="false">
      <c r="D255" s="13"/>
    </row>
    <row r="256" customFormat="false" ht="15.75" hidden="false" customHeight="true" outlineLevel="0" collapsed="false">
      <c r="D256" s="13"/>
    </row>
    <row r="257" customFormat="false" ht="15.75" hidden="false" customHeight="true" outlineLevel="0" collapsed="false">
      <c r="D257" s="13"/>
    </row>
    <row r="258" customFormat="false" ht="15.75" hidden="false" customHeight="true" outlineLevel="0" collapsed="false">
      <c r="D258" s="13"/>
    </row>
    <row r="259" customFormat="false" ht="15.75" hidden="false" customHeight="true" outlineLevel="0" collapsed="false">
      <c r="D259" s="13"/>
    </row>
    <row r="260" customFormat="false" ht="15.75" hidden="false" customHeight="true" outlineLevel="0" collapsed="false">
      <c r="D260" s="13"/>
    </row>
    <row r="261" customFormat="false" ht="15.75" hidden="false" customHeight="true" outlineLevel="0" collapsed="false">
      <c r="D261" s="13"/>
    </row>
    <row r="262" customFormat="false" ht="15.75" hidden="false" customHeight="true" outlineLevel="0" collapsed="false">
      <c r="D262" s="13"/>
    </row>
    <row r="263" customFormat="false" ht="15.75" hidden="false" customHeight="true" outlineLevel="0" collapsed="false">
      <c r="D263" s="13"/>
    </row>
    <row r="264" customFormat="false" ht="15.75" hidden="false" customHeight="true" outlineLevel="0" collapsed="false">
      <c r="D264" s="13"/>
    </row>
    <row r="265" customFormat="false" ht="15.75" hidden="false" customHeight="true" outlineLevel="0" collapsed="false">
      <c r="D265" s="13"/>
    </row>
    <row r="266" customFormat="false" ht="15.75" hidden="false" customHeight="true" outlineLevel="0" collapsed="false">
      <c r="D266" s="13"/>
    </row>
    <row r="267" customFormat="false" ht="15.75" hidden="false" customHeight="true" outlineLevel="0" collapsed="false">
      <c r="D267" s="13"/>
    </row>
    <row r="268" customFormat="false" ht="15.75" hidden="false" customHeight="true" outlineLevel="0" collapsed="false">
      <c r="D268" s="13"/>
    </row>
    <row r="269" customFormat="false" ht="15.75" hidden="false" customHeight="true" outlineLevel="0" collapsed="false">
      <c r="D269" s="13"/>
    </row>
    <row r="270" customFormat="false" ht="15.75" hidden="false" customHeight="true" outlineLevel="0" collapsed="false">
      <c r="D270" s="13"/>
    </row>
    <row r="271" customFormat="false" ht="15.75" hidden="false" customHeight="true" outlineLevel="0" collapsed="false">
      <c r="D271" s="13"/>
    </row>
    <row r="272" customFormat="false" ht="15.75" hidden="false" customHeight="true" outlineLevel="0" collapsed="false">
      <c r="D272" s="13"/>
    </row>
    <row r="273" customFormat="false" ht="15.75" hidden="false" customHeight="true" outlineLevel="0" collapsed="false">
      <c r="D273" s="13"/>
    </row>
    <row r="274" customFormat="false" ht="15.75" hidden="false" customHeight="true" outlineLevel="0" collapsed="false">
      <c r="D274" s="13"/>
    </row>
    <row r="275" customFormat="false" ht="15.75" hidden="false" customHeight="true" outlineLevel="0" collapsed="false">
      <c r="D275" s="13"/>
    </row>
    <row r="276" customFormat="false" ht="15.75" hidden="false" customHeight="true" outlineLevel="0" collapsed="false">
      <c r="D276" s="13"/>
    </row>
    <row r="277" customFormat="false" ht="15.75" hidden="false" customHeight="true" outlineLevel="0" collapsed="false">
      <c r="D277" s="13"/>
    </row>
    <row r="278" customFormat="false" ht="15.75" hidden="false" customHeight="true" outlineLevel="0" collapsed="false">
      <c r="D278" s="13"/>
    </row>
    <row r="279" customFormat="false" ht="15.75" hidden="false" customHeight="true" outlineLevel="0" collapsed="false">
      <c r="D279" s="13"/>
    </row>
    <row r="280" customFormat="false" ht="15.75" hidden="false" customHeight="true" outlineLevel="0" collapsed="false">
      <c r="D280" s="13"/>
    </row>
    <row r="281" customFormat="false" ht="15.75" hidden="false" customHeight="true" outlineLevel="0" collapsed="false">
      <c r="D281" s="13"/>
    </row>
    <row r="282" customFormat="false" ht="15.75" hidden="false" customHeight="true" outlineLevel="0" collapsed="false">
      <c r="D282" s="13"/>
    </row>
    <row r="283" customFormat="false" ht="15.75" hidden="false" customHeight="true" outlineLevel="0" collapsed="false">
      <c r="D283" s="13"/>
    </row>
    <row r="284" customFormat="false" ht="15.75" hidden="false" customHeight="true" outlineLevel="0" collapsed="false">
      <c r="D284" s="13"/>
    </row>
    <row r="285" customFormat="false" ht="15.75" hidden="false" customHeight="true" outlineLevel="0" collapsed="false">
      <c r="D285" s="13"/>
    </row>
    <row r="286" customFormat="false" ht="15.75" hidden="false" customHeight="true" outlineLevel="0" collapsed="false">
      <c r="D286" s="13"/>
    </row>
    <row r="287" customFormat="false" ht="15.75" hidden="false" customHeight="true" outlineLevel="0" collapsed="false">
      <c r="D287" s="13"/>
    </row>
    <row r="288" customFormat="false" ht="15.75" hidden="false" customHeight="true" outlineLevel="0" collapsed="false">
      <c r="D288" s="13"/>
    </row>
    <row r="289" customFormat="false" ht="15.75" hidden="false" customHeight="true" outlineLevel="0" collapsed="false">
      <c r="D289" s="13"/>
    </row>
    <row r="290" customFormat="false" ht="15.75" hidden="false" customHeight="true" outlineLevel="0" collapsed="false">
      <c r="D290" s="13"/>
    </row>
    <row r="291" customFormat="false" ht="15.75" hidden="false" customHeight="true" outlineLevel="0" collapsed="false">
      <c r="D291" s="13"/>
    </row>
    <row r="292" customFormat="false" ht="15.75" hidden="false" customHeight="true" outlineLevel="0" collapsed="false">
      <c r="D292" s="13"/>
    </row>
    <row r="293" customFormat="false" ht="15.75" hidden="false" customHeight="true" outlineLevel="0" collapsed="false">
      <c r="D293" s="13"/>
    </row>
    <row r="294" customFormat="false" ht="15.75" hidden="false" customHeight="true" outlineLevel="0" collapsed="false">
      <c r="D294" s="13"/>
    </row>
    <row r="295" customFormat="false" ht="15.75" hidden="false" customHeight="true" outlineLevel="0" collapsed="false">
      <c r="D295" s="13"/>
    </row>
    <row r="296" customFormat="false" ht="15.75" hidden="false" customHeight="true" outlineLevel="0" collapsed="false">
      <c r="D296" s="13"/>
    </row>
    <row r="297" customFormat="false" ht="15.75" hidden="false" customHeight="true" outlineLevel="0" collapsed="false">
      <c r="D297" s="13"/>
    </row>
    <row r="298" customFormat="false" ht="15.75" hidden="false" customHeight="true" outlineLevel="0" collapsed="false">
      <c r="D298" s="13"/>
    </row>
    <row r="299" customFormat="false" ht="15.75" hidden="false" customHeight="true" outlineLevel="0" collapsed="false">
      <c r="D299" s="13"/>
    </row>
    <row r="300" customFormat="false" ht="15.75" hidden="false" customHeight="true" outlineLevel="0" collapsed="false">
      <c r="D300" s="13"/>
    </row>
    <row r="301" customFormat="false" ht="15.75" hidden="false" customHeight="true" outlineLevel="0" collapsed="false">
      <c r="D301" s="13"/>
    </row>
    <row r="302" customFormat="false" ht="15.75" hidden="false" customHeight="true" outlineLevel="0" collapsed="false">
      <c r="D302" s="13"/>
    </row>
    <row r="303" customFormat="false" ht="15.75" hidden="false" customHeight="true" outlineLevel="0" collapsed="false">
      <c r="D303" s="13"/>
    </row>
    <row r="304" customFormat="false" ht="15.75" hidden="false" customHeight="true" outlineLevel="0" collapsed="false">
      <c r="D304" s="13"/>
    </row>
    <row r="305" customFormat="false" ht="15.75" hidden="false" customHeight="true" outlineLevel="0" collapsed="false">
      <c r="D305" s="13"/>
    </row>
    <row r="306" customFormat="false" ht="15.75" hidden="false" customHeight="true" outlineLevel="0" collapsed="false">
      <c r="D306" s="13"/>
    </row>
    <row r="307" customFormat="false" ht="15.75" hidden="false" customHeight="true" outlineLevel="0" collapsed="false">
      <c r="D307" s="13"/>
    </row>
    <row r="308" customFormat="false" ht="15.75" hidden="false" customHeight="true" outlineLevel="0" collapsed="false">
      <c r="D308" s="13"/>
    </row>
    <row r="309" customFormat="false" ht="15.75" hidden="false" customHeight="true" outlineLevel="0" collapsed="false">
      <c r="D309" s="13"/>
    </row>
    <row r="310" customFormat="false" ht="15.75" hidden="false" customHeight="true" outlineLevel="0" collapsed="false">
      <c r="D310" s="13"/>
    </row>
    <row r="311" customFormat="false" ht="15.75" hidden="false" customHeight="true" outlineLevel="0" collapsed="false">
      <c r="D311" s="13"/>
    </row>
    <row r="312" customFormat="false" ht="15.75" hidden="false" customHeight="true" outlineLevel="0" collapsed="false">
      <c r="D312" s="13"/>
    </row>
    <row r="313" customFormat="false" ht="15.75" hidden="false" customHeight="true" outlineLevel="0" collapsed="false">
      <c r="D313" s="13"/>
    </row>
    <row r="314" customFormat="false" ht="15.75" hidden="false" customHeight="true" outlineLevel="0" collapsed="false">
      <c r="D314" s="13"/>
    </row>
    <row r="315" customFormat="false" ht="15.75" hidden="false" customHeight="true" outlineLevel="0" collapsed="false">
      <c r="D315" s="13"/>
    </row>
    <row r="316" customFormat="false" ht="15.75" hidden="false" customHeight="true" outlineLevel="0" collapsed="false">
      <c r="D316" s="13"/>
    </row>
    <row r="317" customFormat="false" ht="15.75" hidden="false" customHeight="true" outlineLevel="0" collapsed="false">
      <c r="D317" s="13"/>
    </row>
    <row r="318" customFormat="false" ht="15.75" hidden="false" customHeight="true" outlineLevel="0" collapsed="false">
      <c r="D318" s="13"/>
    </row>
    <row r="319" customFormat="false" ht="15.75" hidden="false" customHeight="true" outlineLevel="0" collapsed="false">
      <c r="D319" s="13"/>
    </row>
    <row r="320" customFormat="false" ht="15.75" hidden="false" customHeight="true" outlineLevel="0" collapsed="false">
      <c r="D320" s="13"/>
    </row>
    <row r="321" customFormat="false" ht="15.75" hidden="false" customHeight="true" outlineLevel="0" collapsed="false">
      <c r="D321" s="13"/>
    </row>
    <row r="322" customFormat="false" ht="15.75" hidden="false" customHeight="true" outlineLevel="0" collapsed="false">
      <c r="D322" s="13"/>
    </row>
    <row r="323" customFormat="false" ht="15.75" hidden="false" customHeight="true" outlineLevel="0" collapsed="false">
      <c r="D323" s="13"/>
    </row>
    <row r="324" customFormat="false" ht="15.75" hidden="false" customHeight="true" outlineLevel="0" collapsed="false">
      <c r="D324" s="13"/>
    </row>
    <row r="325" customFormat="false" ht="15.75" hidden="false" customHeight="true" outlineLevel="0" collapsed="false">
      <c r="D325" s="13"/>
    </row>
    <row r="326" customFormat="false" ht="15.75" hidden="false" customHeight="true" outlineLevel="0" collapsed="false">
      <c r="D326" s="13"/>
    </row>
    <row r="327" customFormat="false" ht="15.75" hidden="false" customHeight="true" outlineLevel="0" collapsed="false">
      <c r="D327" s="13"/>
    </row>
    <row r="328" customFormat="false" ht="15.75" hidden="false" customHeight="true" outlineLevel="0" collapsed="false">
      <c r="D328" s="13"/>
    </row>
    <row r="329" customFormat="false" ht="15.75" hidden="false" customHeight="true" outlineLevel="0" collapsed="false">
      <c r="D329" s="13"/>
    </row>
    <row r="330" customFormat="false" ht="15.75" hidden="false" customHeight="true" outlineLevel="0" collapsed="false">
      <c r="D330" s="13"/>
    </row>
    <row r="331" customFormat="false" ht="15.75" hidden="false" customHeight="true" outlineLevel="0" collapsed="false">
      <c r="D331" s="13"/>
    </row>
    <row r="332" customFormat="false" ht="15.75" hidden="false" customHeight="true" outlineLevel="0" collapsed="false">
      <c r="D332" s="13"/>
    </row>
    <row r="333" customFormat="false" ht="15.75" hidden="false" customHeight="true" outlineLevel="0" collapsed="false">
      <c r="D333" s="13"/>
    </row>
    <row r="334" customFormat="false" ht="15.75" hidden="false" customHeight="true" outlineLevel="0" collapsed="false">
      <c r="D334" s="13"/>
    </row>
    <row r="335" customFormat="false" ht="15.75" hidden="false" customHeight="true" outlineLevel="0" collapsed="false">
      <c r="D335" s="13"/>
    </row>
    <row r="336" customFormat="false" ht="15.75" hidden="false" customHeight="true" outlineLevel="0" collapsed="false">
      <c r="D336" s="13"/>
    </row>
    <row r="337" customFormat="false" ht="15.75" hidden="false" customHeight="true" outlineLevel="0" collapsed="false">
      <c r="D337" s="13"/>
    </row>
    <row r="338" customFormat="false" ht="15.75" hidden="false" customHeight="true" outlineLevel="0" collapsed="false">
      <c r="D338" s="13"/>
    </row>
    <row r="339" customFormat="false" ht="15.75" hidden="false" customHeight="true" outlineLevel="0" collapsed="false">
      <c r="D339" s="13"/>
    </row>
    <row r="340" customFormat="false" ht="15.75" hidden="false" customHeight="true" outlineLevel="0" collapsed="false">
      <c r="D340" s="13"/>
    </row>
    <row r="341" customFormat="false" ht="15.75" hidden="false" customHeight="true" outlineLevel="0" collapsed="false">
      <c r="D341" s="13"/>
    </row>
    <row r="342" customFormat="false" ht="15.75" hidden="false" customHeight="true" outlineLevel="0" collapsed="false">
      <c r="D342" s="13"/>
    </row>
    <row r="343" customFormat="false" ht="15.75" hidden="false" customHeight="true" outlineLevel="0" collapsed="false">
      <c r="D343" s="13"/>
    </row>
    <row r="344" customFormat="false" ht="15.75" hidden="false" customHeight="true" outlineLevel="0" collapsed="false">
      <c r="D344" s="13"/>
    </row>
    <row r="345" customFormat="false" ht="15.75" hidden="false" customHeight="true" outlineLevel="0" collapsed="false">
      <c r="D345" s="13"/>
    </row>
    <row r="346" customFormat="false" ht="15.75" hidden="false" customHeight="true" outlineLevel="0" collapsed="false">
      <c r="D346" s="13"/>
    </row>
    <row r="347" customFormat="false" ht="15.75" hidden="false" customHeight="true" outlineLevel="0" collapsed="false">
      <c r="D347" s="13"/>
    </row>
    <row r="348" customFormat="false" ht="15.75" hidden="false" customHeight="true" outlineLevel="0" collapsed="false">
      <c r="D348" s="13"/>
    </row>
    <row r="349" customFormat="false" ht="15.75" hidden="false" customHeight="true" outlineLevel="0" collapsed="false">
      <c r="D349" s="13"/>
    </row>
    <row r="350" customFormat="false" ht="15.75" hidden="false" customHeight="true" outlineLevel="0" collapsed="false">
      <c r="D350" s="13"/>
    </row>
    <row r="351" customFormat="false" ht="15.75" hidden="false" customHeight="true" outlineLevel="0" collapsed="false">
      <c r="D351" s="13"/>
    </row>
    <row r="352" customFormat="false" ht="15.75" hidden="false" customHeight="true" outlineLevel="0" collapsed="false">
      <c r="D352" s="13"/>
    </row>
    <row r="353" customFormat="false" ht="15.75" hidden="false" customHeight="true" outlineLevel="0" collapsed="false">
      <c r="D353" s="13"/>
    </row>
    <row r="354" customFormat="false" ht="15.75" hidden="false" customHeight="true" outlineLevel="0" collapsed="false">
      <c r="D354" s="13"/>
    </row>
    <row r="355" customFormat="false" ht="15.75" hidden="false" customHeight="true" outlineLevel="0" collapsed="false">
      <c r="D355" s="13"/>
    </row>
    <row r="356" customFormat="false" ht="15.75" hidden="false" customHeight="true" outlineLevel="0" collapsed="false">
      <c r="D356" s="13"/>
    </row>
    <row r="357" customFormat="false" ht="15.75" hidden="false" customHeight="true" outlineLevel="0" collapsed="false">
      <c r="D357" s="13"/>
    </row>
    <row r="358" customFormat="false" ht="15.75" hidden="false" customHeight="true" outlineLevel="0" collapsed="false">
      <c r="D358" s="13"/>
    </row>
    <row r="359" customFormat="false" ht="15.75" hidden="false" customHeight="true" outlineLevel="0" collapsed="false">
      <c r="D359" s="13"/>
    </row>
    <row r="360" customFormat="false" ht="15.75" hidden="false" customHeight="true" outlineLevel="0" collapsed="false">
      <c r="D360" s="13"/>
    </row>
    <row r="361" customFormat="false" ht="15.75" hidden="false" customHeight="true" outlineLevel="0" collapsed="false">
      <c r="D361" s="13"/>
    </row>
    <row r="362" customFormat="false" ht="15.75" hidden="false" customHeight="true" outlineLevel="0" collapsed="false">
      <c r="D362" s="13"/>
    </row>
    <row r="363" customFormat="false" ht="15.75" hidden="false" customHeight="true" outlineLevel="0" collapsed="false">
      <c r="D363" s="13"/>
    </row>
    <row r="364" customFormat="false" ht="15.75" hidden="false" customHeight="true" outlineLevel="0" collapsed="false">
      <c r="D364" s="13"/>
    </row>
    <row r="365" customFormat="false" ht="15.75" hidden="false" customHeight="true" outlineLevel="0" collapsed="false">
      <c r="D365" s="13"/>
    </row>
    <row r="366" customFormat="false" ht="15.75" hidden="false" customHeight="true" outlineLevel="0" collapsed="false">
      <c r="D366" s="13"/>
    </row>
    <row r="367" customFormat="false" ht="15.75" hidden="false" customHeight="true" outlineLevel="0" collapsed="false">
      <c r="D367" s="13"/>
    </row>
    <row r="368" customFormat="false" ht="15.75" hidden="false" customHeight="true" outlineLevel="0" collapsed="false">
      <c r="D368" s="13"/>
    </row>
    <row r="369" customFormat="false" ht="15.75" hidden="false" customHeight="true" outlineLevel="0" collapsed="false">
      <c r="D369" s="13"/>
    </row>
    <row r="370" customFormat="false" ht="15.75" hidden="false" customHeight="true" outlineLevel="0" collapsed="false">
      <c r="D370" s="13"/>
    </row>
    <row r="371" customFormat="false" ht="15.75" hidden="false" customHeight="true" outlineLevel="0" collapsed="false">
      <c r="D371" s="13"/>
    </row>
    <row r="372" customFormat="false" ht="15.75" hidden="false" customHeight="true" outlineLevel="0" collapsed="false">
      <c r="D372" s="13"/>
    </row>
    <row r="373" customFormat="false" ht="15.75" hidden="false" customHeight="true" outlineLevel="0" collapsed="false">
      <c r="D373" s="13"/>
    </row>
    <row r="374" customFormat="false" ht="15.75" hidden="false" customHeight="true" outlineLevel="0" collapsed="false">
      <c r="D374" s="13"/>
    </row>
    <row r="375" customFormat="false" ht="15.75" hidden="false" customHeight="true" outlineLevel="0" collapsed="false">
      <c r="D375" s="13"/>
    </row>
    <row r="376" customFormat="false" ht="15.75" hidden="false" customHeight="true" outlineLevel="0" collapsed="false">
      <c r="D376" s="13"/>
    </row>
    <row r="377" customFormat="false" ht="15.75" hidden="false" customHeight="true" outlineLevel="0" collapsed="false">
      <c r="D377" s="13"/>
    </row>
    <row r="378" customFormat="false" ht="15.75" hidden="false" customHeight="true" outlineLevel="0" collapsed="false">
      <c r="D378" s="13"/>
    </row>
    <row r="379" customFormat="false" ht="15.75" hidden="false" customHeight="true" outlineLevel="0" collapsed="false">
      <c r="D379" s="13"/>
    </row>
    <row r="380" customFormat="false" ht="15.75" hidden="false" customHeight="true" outlineLevel="0" collapsed="false">
      <c r="D380" s="13"/>
    </row>
    <row r="381" customFormat="false" ht="15.75" hidden="false" customHeight="true" outlineLevel="0" collapsed="false">
      <c r="D381" s="13"/>
    </row>
    <row r="382" customFormat="false" ht="15.75" hidden="false" customHeight="true" outlineLevel="0" collapsed="false">
      <c r="D382" s="13"/>
    </row>
    <row r="383" customFormat="false" ht="15.75" hidden="false" customHeight="true" outlineLevel="0" collapsed="false">
      <c r="D383" s="13"/>
    </row>
    <row r="384" customFormat="false" ht="15.75" hidden="false" customHeight="true" outlineLevel="0" collapsed="false">
      <c r="D384" s="13"/>
    </row>
    <row r="385" customFormat="false" ht="15.75" hidden="false" customHeight="true" outlineLevel="0" collapsed="false">
      <c r="D385" s="13"/>
    </row>
    <row r="386" customFormat="false" ht="15.75" hidden="false" customHeight="true" outlineLevel="0" collapsed="false">
      <c r="D386" s="13"/>
    </row>
    <row r="387" customFormat="false" ht="15.75" hidden="false" customHeight="true" outlineLevel="0" collapsed="false">
      <c r="D387" s="13"/>
    </row>
    <row r="388" customFormat="false" ht="15.75" hidden="false" customHeight="true" outlineLevel="0" collapsed="false">
      <c r="D388" s="13"/>
    </row>
    <row r="389" customFormat="false" ht="15.75" hidden="false" customHeight="true" outlineLevel="0" collapsed="false">
      <c r="D389" s="13"/>
    </row>
    <row r="390" customFormat="false" ht="15.75" hidden="false" customHeight="true" outlineLevel="0" collapsed="false">
      <c r="D390" s="13"/>
    </row>
    <row r="391" customFormat="false" ht="15.75" hidden="false" customHeight="true" outlineLevel="0" collapsed="false">
      <c r="D391" s="13"/>
    </row>
    <row r="392" customFormat="false" ht="15.75" hidden="false" customHeight="true" outlineLevel="0" collapsed="false">
      <c r="D392" s="13"/>
    </row>
    <row r="393" customFormat="false" ht="15.75" hidden="false" customHeight="true" outlineLevel="0" collapsed="false">
      <c r="D393" s="13"/>
    </row>
    <row r="394" customFormat="false" ht="15.75" hidden="false" customHeight="true" outlineLevel="0" collapsed="false">
      <c r="D394" s="13"/>
    </row>
    <row r="395" customFormat="false" ht="15.75" hidden="false" customHeight="true" outlineLevel="0" collapsed="false">
      <c r="D395" s="13"/>
    </row>
    <row r="396" customFormat="false" ht="15.75" hidden="false" customHeight="true" outlineLevel="0" collapsed="false">
      <c r="D396" s="13"/>
    </row>
    <row r="397" customFormat="false" ht="15.75" hidden="false" customHeight="true" outlineLevel="0" collapsed="false">
      <c r="D397" s="13"/>
    </row>
    <row r="398" customFormat="false" ht="15.75" hidden="false" customHeight="true" outlineLevel="0" collapsed="false">
      <c r="D398" s="13"/>
    </row>
    <row r="399" customFormat="false" ht="15.75" hidden="false" customHeight="true" outlineLevel="0" collapsed="false">
      <c r="D399" s="13"/>
    </row>
    <row r="400" customFormat="false" ht="15.75" hidden="false" customHeight="true" outlineLevel="0" collapsed="false">
      <c r="D400" s="13"/>
    </row>
    <row r="401" customFormat="false" ht="15.75" hidden="false" customHeight="true" outlineLevel="0" collapsed="false">
      <c r="D401" s="13"/>
    </row>
    <row r="402" customFormat="false" ht="15.75" hidden="false" customHeight="true" outlineLevel="0" collapsed="false">
      <c r="D402" s="13"/>
    </row>
    <row r="403" customFormat="false" ht="15.75" hidden="false" customHeight="true" outlineLevel="0" collapsed="false">
      <c r="D403" s="13"/>
    </row>
    <row r="404" customFormat="false" ht="15.75" hidden="false" customHeight="true" outlineLevel="0" collapsed="false">
      <c r="D404" s="13"/>
    </row>
    <row r="405" customFormat="false" ht="15.75" hidden="false" customHeight="true" outlineLevel="0" collapsed="false">
      <c r="D405" s="13"/>
    </row>
    <row r="406" customFormat="false" ht="15.75" hidden="false" customHeight="true" outlineLevel="0" collapsed="false">
      <c r="D406" s="13"/>
    </row>
    <row r="407" customFormat="false" ht="15.75" hidden="false" customHeight="true" outlineLevel="0" collapsed="false">
      <c r="D407" s="13"/>
    </row>
    <row r="408" customFormat="false" ht="15.75" hidden="false" customHeight="true" outlineLevel="0" collapsed="false">
      <c r="D408" s="13"/>
    </row>
    <row r="409" customFormat="false" ht="15.75" hidden="false" customHeight="true" outlineLevel="0" collapsed="false">
      <c r="D409" s="13"/>
    </row>
    <row r="410" customFormat="false" ht="15.75" hidden="false" customHeight="true" outlineLevel="0" collapsed="false">
      <c r="D410" s="13"/>
    </row>
    <row r="411" customFormat="false" ht="15.75" hidden="false" customHeight="true" outlineLevel="0" collapsed="false">
      <c r="D411" s="13"/>
    </row>
    <row r="412" customFormat="false" ht="15.75" hidden="false" customHeight="true" outlineLevel="0" collapsed="false">
      <c r="D412" s="13"/>
    </row>
    <row r="413" customFormat="false" ht="15.75" hidden="false" customHeight="true" outlineLevel="0" collapsed="false">
      <c r="D413" s="13"/>
    </row>
    <row r="414" customFormat="false" ht="15.75" hidden="false" customHeight="true" outlineLevel="0" collapsed="false">
      <c r="D414" s="13"/>
    </row>
    <row r="415" customFormat="false" ht="15.75" hidden="false" customHeight="true" outlineLevel="0" collapsed="false">
      <c r="D415" s="13"/>
    </row>
    <row r="416" customFormat="false" ht="15.75" hidden="false" customHeight="true" outlineLevel="0" collapsed="false">
      <c r="D416" s="13"/>
    </row>
    <row r="417" customFormat="false" ht="15.75" hidden="false" customHeight="true" outlineLevel="0" collapsed="false">
      <c r="D417" s="13"/>
    </row>
    <row r="418" customFormat="false" ht="15.75" hidden="false" customHeight="true" outlineLevel="0" collapsed="false">
      <c r="D418" s="13"/>
    </row>
    <row r="419" customFormat="false" ht="15.75" hidden="false" customHeight="true" outlineLevel="0" collapsed="false">
      <c r="D419" s="13"/>
    </row>
    <row r="420" customFormat="false" ht="15.75" hidden="false" customHeight="true" outlineLevel="0" collapsed="false">
      <c r="D420" s="13"/>
    </row>
    <row r="421" customFormat="false" ht="15.75" hidden="false" customHeight="true" outlineLevel="0" collapsed="false">
      <c r="D421" s="13"/>
    </row>
    <row r="422" customFormat="false" ht="15.75" hidden="false" customHeight="true" outlineLevel="0" collapsed="false">
      <c r="D422" s="13"/>
    </row>
    <row r="423" customFormat="false" ht="15.75" hidden="false" customHeight="true" outlineLevel="0" collapsed="false">
      <c r="D423" s="13"/>
    </row>
    <row r="424" customFormat="false" ht="15.75" hidden="false" customHeight="true" outlineLevel="0" collapsed="false">
      <c r="D424" s="13"/>
    </row>
    <row r="425" customFormat="false" ht="15.75" hidden="false" customHeight="true" outlineLevel="0" collapsed="false">
      <c r="D425" s="13"/>
    </row>
    <row r="426" customFormat="false" ht="15.75" hidden="false" customHeight="true" outlineLevel="0" collapsed="false">
      <c r="D426" s="13"/>
    </row>
    <row r="427" customFormat="false" ht="15.75" hidden="false" customHeight="true" outlineLevel="0" collapsed="false">
      <c r="D427" s="13"/>
    </row>
    <row r="428" customFormat="false" ht="15.75" hidden="false" customHeight="true" outlineLevel="0" collapsed="false">
      <c r="D428" s="13"/>
    </row>
    <row r="429" customFormat="false" ht="15.75" hidden="false" customHeight="true" outlineLevel="0" collapsed="false">
      <c r="D429" s="13"/>
    </row>
    <row r="430" customFormat="false" ht="15.75" hidden="false" customHeight="true" outlineLevel="0" collapsed="false">
      <c r="D430" s="13"/>
    </row>
    <row r="431" customFormat="false" ht="15.75" hidden="false" customHeight="true" outlineLevel="0" collapsed="false">
      <c r="D431" s="13"/>
    </row>
    <row r="432" customFormat="false" ht="15.75" hidden="false" customHeight="true" outlineLevel="0" collapsed="false">
      <c r="D432" s="13"/>
    </row>
    <row r="433" customFormat="false" ht="15.75" hidden="false" customHeight="true" outlineLevel="0" collapsed="false">
      <c r="D433" s="13"/>
    </row>
    <row r="434" customFormat="false" ht="15.75" hidden="false" customHeight="true" outlineLevel="0" collapsed="false">
      <c r="D434" s="13"/>
    </row>
    <row r="435" customFormat="false" ht="15.75" hidden="false" customHeight="true" outlineLevel="0" collapsed="false">
      <c r="D435" s="13"/>
    </row>
    <row r="436" customFormat="false" ht="15.75" hidden="false" customHeight="true" outlineLevel="0" collapsed="false">
      <c r="D436" s="13"/>
    </row>
    <row r="437" customFormat="false" ht="15.75" hidden="false" customHeight="true" outlineLevel="0" collapsed="false">
      <c r="D437" s="13"/>
    </row>
    <row r="438" customFormat="false" ht="15.75" hidden="false" customHeight="true" outlineLevel="0" collapsed="false">
      <c r="D438" s="13"/>
    </row>
    <row r="439" customFormat="false" ht="15.75" hidden="false" customHeight="true" outlineLevel="0" collapsed="false">
      <c r="D439" s="13"/>
    </row>
    <row r="440" customFormat="false" ht="15.75" hidden="false" customHeight="true" outlineLevel="0" collapsed="false">
      <c r="D440" s="13"/>
    </row>
    <row r="441" customFormat="false" ht="15.75" hidden="false" customHeight="true" outlineLevel="0" collapsed="false">
      <c r="D441" s="13"/>
    </row>
    <row r="442" customFormat="false" ht="15.75" hidden="false" customHeight="true" outlineLevel="0" collapsed="false">
      <c r="D442" s="13"/>
    </row>
    <row r="443" customFormat="false" ht="15.75" hidden="false" customHeight="true" outlineLevel="0" collapsed="false">
      <c r="D443" s="13"/>
    </row>
    <row r="444" customFormat="false" ht="15.75" hidden="false" customHeight="true" outlineLevel="0" collapsed="false">
      <c r="D444" s="13"/>
    </row>
    <row r="445" customFormat="false" ht="15.75" hidden="false" customHeight="true" outlineLevel="0" collapsed="false">
      <c r="D445" s="13"/>
    </row>
    <row r="446" customFormat="false" ht="15.75" hidden="false" customHeight="true" outlineLevel="0" collapsed="false">
      <c r="D446" s="13"/>
    </row>
    <row r="447" customFormat="false" ht="15.75" hidden="false" customHeight="true" outlineLevel="0" collapsed="false">
      <c r="D447" s="13"/>
    </row>
    <row r="448" customFormat="false" ht="15.75" hidden="false" customHeight="true" outlineLevel="0" collapsed="false">
      <c r="D448" s="13"/>
    </row>
    <row r="449" customFormat="false" ht="15.75" hidden="false" customHeight="true" outlineLevel="0" collapsed="false">
      <c r="D449" s="13"/>
    </row>
    <row r="450" customFormat="false" ht="15.75" hidden="false" customHeight="true" outlineLevel="0" collapsed="false">
      <c r="D450" s="13"/>
    </row>
    <row r="451" customFormat="false" ht="15.75" hidden="false" customHeight="true" outlineLevel="0" collapsed="false">
      <c r="D451" s="13"/>
    </row>
    <row r="452" customFormat="false" ht="15.75" hidden="false" customHeight="true" outlineLevel="0" collapsed="false">
      <c r="D452" s="13"/>
    </row>
    <row r="453" customFormat="false" ht="15.75" hidden="false" customHeight="true" outlineLevel="0" collapsed="false">
      <c r="D453" s="13"/>
    </row>
    <row r="454" customFormat="false" ht="15.75" hidden="false" customHeight="true" outlineLevel="0" collapsed="false">
      <c r="D454" s="13"/>
    </row>
    <row r="455" customFormat="false" ht="15.75" hidden="false" customHeight="true" outlineLevel="0" collapsed="false">
      <c r="D455" s="13"/>
    </row>
    <row r="456" customFormat="false" ht="15.75" hidden="false" customHeight="true" outlineLevel="0" collapsed="false">
      <c r="D456" s="13"/>
    </row>
    <row r="457" customFormat="false" ht="15.75" hidden="false" customHeight="true" outlineLevel="0" collapsed="false">
      <c r="D457" s="13"/>
    </row>
    <row r="458" customFormat="false" ht="15.75" hidden="false" customHeight="true" outlineLevel="0" collapsed="false">
      <c r="D458" s="13"/>
    </row>
    <row r="459" customFormat="false" ht="15.75" hidden="false" customHeight="true" outlineLevel="0" collapsed="false">
      <c r="D459" s="13"/>
    </row>
    <row r="460" customFormat="false" ht="15.75" hidden="false" customHeight="true" outlineLevel="0" collapsed="false">
      <c r="D460" s="13"/>
    </row>
    <row r="461" customFormat="false" ht="15.75" hidden="false" customHeight="true" outlineLevel="0" collapsed="false">
      <c r="D461" s="13"/>
    </row>
    <row r="462" customFormat="false" ht="15.75" hidden="false" customHeight="true" outlineLevel="0" collapsed="false">
      <c r="D462" s="13"/>
    </row>
    <row r="463" customFormat="false" ht="15.75" hidden="false" customHeight="true" outlineLevel="0" collapsed="false">
      <c r="D463" s="13"/>
    </row>
    <row r="464" customFormat="false" ht="15.75" hidden="false" customHeight="true" outlineLevel="0" collapsed="false">
      <c r="D464" s="13"/>
    </row>
    <row r="465" customFormat="false" ht="15.75" hidden="false" customHeight="true" outlineLevel="0" collapsed="false">
      <c r="D465" s="13"/>
    </row>
    <row r="466" customFormat="false" ht="15.75" hidden="false" customHeight="true" outlineLevel="0" collapsed="false">
      <c r="D466" s="13"/>
    </row>
    <row r="467" customFormat="false" ht="15.75" hidden="false" customHeight="true" outlineLevel="0" collapsed="false">
      <c r="D467" s="13"/>
    </row>
    <row r="468" customFormat="false" ht="15.75" hidden="false" customHeight="true" outlineLevel="0" collapsed="false">
      <c r="D468" s="13"/>
    </row>
    <row r="469" customFormat="false" ht="15.75" hidden="false" customHeight="true" outlineLevel="0" collapsed="false">
      <c r="D469" s="13"/>
    </row>
    <row r="470" customFormat="false" ht="15.75" hidden="false" customHeight="true" outlineLevel="0" collapsed="false">
      <c r="D470" s="13"/>
    </row>
    <row r="471" customFormat="false" ht="15.75" hidden="false" customHeight="true" outlineLevel="0" collapsed="false">
      <c r="D471" s="13"/>
    </row>
    <row r="472" customFormat="false" ht="15.75" hidden="false" customHeight="true" outlineLevel="0" collapsed="false">
      <c r="D472" s="13"/>
    </row>
    <row r="473" customFormat="false" ht="15.75" hidden="false" customHeight="true" outlineLevel="0" collapsed="false">
      <c r="D473" s="13"/>
    </row>
    <row r="474" customFormat="false" ht="15.75" hidden="false" customHeight="true" outlineLevel="0" collapsed="false">
      <c r="D474" s="13"/>
    </row>
    <row r="475" customFormat="false" ht="15.75" hidden="false" customHeight="true" outlineLevel="0" collapsed="false">
      <c r="D475" s="13"/>
    </row>
    <row r="476" customFormat="false" ht="15.75" hidden="false" customHeight="true" outlineLevel="0" collapsed="false">
      <c r="D476" s="13"/>
    </row>
    <row r="477" customFormat="false" ht="15.75" hidden="false" customHeight="true" outlineLevel="0" collapsed="false">
      <c r="D477" s="13"/>
    </row>
    <row r="478" customFormat="false" ht="15.75" hidden="false" customHeight="true" outlineLevel="0" collapsed="false">
      <c r="D478" s="13"/>
    </row>
    <row r="479" customFormat="false" ht="15.75" hidden="false" customHeight="true" outlineLevel="0" collapsed="false">
      <c r="D479" s="13"/>
    </row>
    <row r="480" customFormat="false" ht="15.75" hidden="false" customHeight="true" outlineLevel="0" collapsed="false">
      <c r="D480" s="13"/>
    </row>
    <row r="481" customFormat="false" ht="15.75" hidden="false" customHeight="true" outlineLevel="0" collapsed="false">
      <c r="D481" s="13"/>
    </row>
    <row r="482" customFormat="false" ht="15.75" hidden="false" customHeight="true" outlineLevel="0" collapsed="false">
      <c r="D482" s="13"/>
    </row>
    <row r="483" customFormat="false" ht="15.75" hidden="false" customHeight="true" outlineLevel="0" collapsed="false">
      <c r="D483" s="13"/>
    </row>
    <row r="484" customFormat="false" ht="15.75" hidden="false" customHeight="true" outlineLevel="0" collapsed="false">
      <c r="D484" s="13"/>
    </row>
    <row r="485" customFormat="false" ht="15.75" hidden="false" customHeight="true" outlineLevel="0" collapsed="false">
      <c r="D485" s="13"/>
    </row>
    <row r="486" customFormat="false" ht="15.75" hidden="false" customHeight="true" outlineLevel="0" collapsed="false">
      <c r="D486" s="13"/>
    </row>
    <row r="487" customFormat="false" ht="15.75" hidden="false" customHeight="true" outlineLevel="0" collapsed="false">
      <c r="D487" s="13"/>
    </row>
    <row r="488" customFormat="false" ht="15.75" hidden="false" customHeight="true" outlineLevel="0" collapsed="false">
      <c r="D488" s="13"/>
    </row>
    <row r="489" customFormat="false" ht="15.75" hidden="false" customHeight="true" outlineLevel="0" collapsed="false">
      <c r="D489" s="13"/>
    </row>
    <row r="490" customFormat="false" ht="15.75" hidden="false" customHeight="true" outlineLevel="0" collapsed="false">
      <c r="D490" s="13"/>
    </row>
    <row r="491" customFormat="false" ht="15.75" hidden="false" customHeight="true" outlineLevel="0" collapsed="false">
      <c r="D491" s="13"/>
    </row>
    <row r="492" customFormat="false" ht="15.75" hidden="false" customHeight="true" outlineLevel="0" collapsed="false">
      <c r="D492" s="13"/>
    </row>
    <row r="493" customFormat="false" ht="15.75" hidden="false" customHeight="true" outlineLevel="0" collapsed="false">
      <c r="D493" s="13"/>
    </row>
    <row r="494" customFormat="false" ht="15.75" hidden="false" customHeight="true" outlineLevel="0" collapsed="false">
      <c r="D494" s="13"/>
    </row>
    <row r="495" customFormat="false" ht="15.75" hidden="false" customHeight="true" outlineLevel="0" collapsed="false">
      <c r="D495" s="13"/>
    </row>
    <row r="496" customFormat="false" ht="15.75" hidden="false" customHeight="true" outlineLevel="0" collapsed="false">
      <c r="D496" s="13"/>
    </row>
    <row r="497" customFormat="false" ht="15.75" hidden="false" customHeight="true" outlineLevel="0" collapsed="false">
      <c r="D497" s="13"/>
    </row>
    <row r="498" customFormat="false" ht="15.75" hidden="false" customHeight="true" outlineLevel="0" collapsed="false">
      <c r="D498" s="13"/>
    </row>
    <row r="499" customFormat="false" ht="15.75" hidden="false" customHeight="true" outlineLevel="0" collapsed="false">
      <c r="D499" s="13"/>
    </row>
    <row r="500" customFormat="false" ht="15.75" hidden="false" customHeight="true" outlineLevel="0" collapsed="false">
      <c r="D500" s="13"/>
    </row>
    <row r="501" customFormat="false" ht="15.75" hidden="false" customHeight="true" outlineLevel="0" collapsed="false">
      <c r="D501" s="13"/>
    </row>
    <row r="502" customFormat="false" ht="15.75" hidden="false" customHeight="true" outlineLevel="0" collapsed="false">
      <c r="D502" s="13"/>
    </row>
    <row r="503" customFormat="false" ht="15.75" hidden="false" customHeight="true" outlineLevel="0" collapsed="false">
      <c r="D503" s="13"/>
    </row>
    <row r="504" customFormat="false" ht="15.75" hidden="false" customHeight="true" outlineLevel="0" collapsed="false">
      <c r="D504" s="13"/>
    </row>
    <row r="505" customFormat="false" ht="15.75" hidden="false" customHeight="true" outlineLevel="0" collapsed="false">
      <c r="D505" s="13"/>
    </row>
    <row r="506" customFormat="false" ht="15.75" hidden="false" customHeight="true" outlineLevel="0" collapsed="false">
      <c r="D506" s="13"/>
    </row>
    <row r="507" customFormat="false" ht="15.75" hidden="false" customHeight="true" outlineLevel="0" collapsed="false">
      <c r="D507" s="13"/>
    </row>
    <row r="508" customFormat="false" ht="15.75" hidden="false" customHeight="true" outlineLevel="0" collapsed="false">
      <c r="D508" s="13"/>
    </row>
    <row r="509" customFormat="false" ht="15.75" hidden="false" customHeight="true" outlineLevel="0" collapsed="false">
      <c r="D509" s="13"/>
    </row>
    <row r="510" customFormat="false" ht="15.75" hidden="false" customHeight="true" outlineLevel="0" collapsed="false">
      <c r="D510" s="13"/>
    </row>
    <row r="511" customFormat="false" ht="15.75" hidden="false" customHeight="true" outlineLevel="0" collapsed="false">
      <c r="D511" s="13"/>
    </row>
    <row r="512" customFormat="false" ht="15.75" hidden="false" customHeight="true" outlineLevel="0" collapsed="false">
      <c r="D512" s="13"/>
    </row>
    <row r="513" customFormat="false" ht="15.75" hidden="false" customHeight="true" outlineLevel="0" collapsed="false">
      <c r="D513" s="13"/>
    </row>
    <row r="514" customFormat="false" ht="15.75" hidden="false" customHeight="true" outlineLevel="0" collapsed="false">
      <c r="D514" s="13"/>
    </row>
    <row r="515" customFormat="false" ht="15.75" hidden="false" customHeight="true" outlineLevel="0" collapsed="false">
      <c r="D515" s="13"/>
    </row>
    <row r="516" customFormat="false" ht="15.75" hidden="false" customHeight="true" outlineLevel="0" collapsed="false">
      <c r="D516" s="13"/>
    </row>
    <row r="517" customFormat="false" ht="15.75" hidden="false" customHeight="true" outlineLevel="0" collapsed="false">
      <c r="D517" s="13"/>
    </row>
    <row r="518" customFormat="false" ht="15.75" hidden="false" customHeight="true" outlineLevel="0" collapsed="false">
      <c r="D518" s="13"/>
    </row>
    <row r="519" customFormat="false" ht="15.75" hidden="false" customHeight="true" outlineLevel="0" collapsed="false">
      <c r="D519" s="13"/>
    </row>
    <row r="520" customFormat="false" ht="15.75" hidden="false" customHeight="true" outlineLevel="0" collapsed="false">
      <c r="D520" s="13"/>
    </row>
    <row r="521" customFormat="false" ht="15.75" hidden="false" customHeight="true" outlineLevel="0" collapsed="false">
      <c r="D521" s="13"/>
    </row>
    <row r="522" customFormat="false" ht="15.75" hidden="false" customHeight="true" outlineLevel="0" collapsed="false">
      <c r="D522" s="13"/>
    </row>
    <row r="523" customFormat="false" ht="15.75" hidden="false" customHeight="true" outlineLevel="0" collapsed="false">
      <c r="D523" s="13"/>
    </row>
    <row r="524" customFormat="false" ht="15.75" hidden="false" customHeight="true" outlineLevel="0" collapsed="false">
      <c r="D524" s="13"/>
    </row>
    <row r="525" customFormat="false" ht="15.75" hidden="false" customHeight="true" outlineLevel="0" collapsed="false">
      <c r="D525" s="13"/>
    </row>
    <row r="526" customFormat="false" ht="15.75" hidden="false" customHeight="true" outlineLevel="0" collapsed="false">
      <c r="D526" s="13"/>
    </row>
    <row r="527" customFormat="false" ht="15.75" hidden="false" customHeight="true" outlineLevel="0" collapsed="false">
      <c r="D527" s="13"/>
    </row>
    <row r="528" customFormat="false" ht="15.75" hidden="false" customHeight="true" outlineLevel="0" collapsed="false">
      <c r="D528" s="13"/>
    </row>
    <row r="529" customFormat="false" ht="15.75" hidden="false" customHeight="true" outlineLevel="0" collapsed="false">
      <c r="D529" s="13"/>
    </row>
    <row r="530" customFormat="false" ht="15.75" hidden="false" customHeight="true" outlineLevel="0" collapsed="false">
      <c r="D530" s="13"/>
    </row>
    <row r="531" customFormat="false" ht="15.75" hidden="false" customHeight="true" outlineLevel="0" collapsed="false">
      <c r="D531" s="13"/>
    </row>
    <row r="532" customFormat="false" ht="15.75" hidden="false" customHeight="true" outlineLevel="0" collapsed="false">
      <c r="D532" s="13"/>
    </row>
    <row r="533" customFormat="false" ht="15.75" hidden="false" customHeight="true" outlineLevel="0" collapsed="false">
      <c r="D533" s="13"/>
    </row>
    <row r="534" customFormat="false" ht="15.75" hidden="false" customHeight="true" outlineLevel="0" collapsed="false">
      <c r="D534" s="13"/>
    </row>
    <row r="535" customFormat="false" ht="15.75" hidden="false" customHeight="true" outlineLevel="0" collapsed="false">
      <c r="D535" s="13"/>
    </row>
    <row r="536" customFormat="false" ht="15.75" hidden="false" customHeight="true" outlineLevel="0" collapsed="false">
      <c r="D536" s="13"/>
    </row>
    <row r="537" customFormat="false" ht="15.75" hidden="false" customHeight="true" outlineLevel="0" collapsed="false">
      <c r="D537" s="13"/>
    </row>
    <row r="538" customFormat="false" ht="15.75" hidden="false" customHeight="true" outlineLevel="0" collapsed="false">
      <c r="D538" s="13"/>
    </row>
    <row r="539" customFormat="false" ht="15.75" hidden="false" customHeight="true" outlineLevel="0" collapsed="false">
      <c r="D539" s="13"/>
    </row>
    <row r="540" customFormat="false" ht="15.75" hidden="false" customHeight="true" outlineLevel="0" collapsed="false">
      <c r="D540" s="13"/>
    </row>
    <row r="541" customFormat="false" ht="15.75" hidden="false" customHeight="true" outlineLevel="0" collapsed="false">
      <c r="D541" s="13"/>
    </row>
    <row r="542" customFormat="false" ht="15.75" hidden="false" customHeight="true" outlineLevel="0" collapsed="false">
      <c r="D542" s="13"/>
    </row>
    <row r="543" customFormat="false" ht="15.75" hidden="false" customHeight="true" outlineLevel="0" collapsed="false">
      <c r="D543" s="13"/>
    </row>
    <row r="544" customFormat="false" ht="15.75" hidden="false" customHeight="true" outlineLevel="0" collapsed="false">
      <c r="D544" s="13"/>
    </row>
    <row r="545" customFormat="false" ht="15.75" hidden="false" customHeight="true" outlineLevel="0" collapsed="false">
      <c r="D545" s="13"/>
    </row>
    <row r="546" customFormat="false" ht="15.75" hidden="false" customHeight="true" outlineLevel="0" collapsed="false">
      <c r="D546" s="13"/>
    </row>
    <row r="547" customFormat="false" ht="15.75" hidden="false" customHeight="true" outlineLevel="0" collapsed="false">
      <c r="D547" s="13"/>
    </row>
    <row r="548" customFormat="false" ht="15.75" hidden="false" customHeight="true" outlineLevel="0" collapsed="false">
      <c r="D548" s="13"/>
    </row>
    <row r="549" customFormat="false" ht="15.75" hidden="false" customHeight="true" outlineLevel="0" collapsed="false">
      <c r="D549" s="13"/>
    </row>
    <row r="550" customFormat="false" ht="15.75" hidden="false" customHeight="true" outlineLevel="0" collapsed="false">
      <c r="D550" s="13"/>
    </row>
    <row r="551" customFormat="false" ht="15.75" hidden="false" customHeight="true" outlineLevel="0" collapsed="false">
      <c r="D551" s="13"/>
    </row>
    <row r="552" customFormat="false" ht="15.75" hidden="false" customHeight="true" outlineLevel="0" collapsed="false">
      <c r="D552" s="13"/>
    </row>
    <row r="553" customFormat="false" ht="15.75" hidden="false" customHeight="true" outlineLevel="0" collapsed="false">
      <c r="D553" s="13"/>
    </row>
    <row r="554" customFormat="false" ht="15.75" hidden="false" customHeight="true" outlineLevel="0" collapsed="false">
      <c r="D554" s="13"/>
    </row>
    <row r="555" customFormat="false" ht="15.75" hidden="false" customHeight="true" outlineLevel="0" collapsed="false">
      <c r="D555" s="13"/>
    </row>
    <row r="556" customFormat="false" ht="15.75" hidden="false" customHeight="true" outlineLevel="0" collapsed="false">
      <c r="D556" s="13"/>
    </row>
    <row r="557" customFormat="false" ht="15.75" hidden="false" customHeight="true" outlineLevel="0" collapsed="false">
      <c r="D557" s="13"/>
    </row>
    <row r="558" customFormat="false" ht="15.75" hidden="false" customHeight="true" outlineLevel="0" collapsed="false">
      <c r="D558" s="13"/>
    </row>
    <row r="559" customFormat="false" ht="15.75" hidden="false" customHeight="true" outlineLevel="0" collapsed="false">
      <c r="D559" s="13"/>
    </row>
    <row r="560" customFormat="false" ht="15.75" hidden="false" customHeight="true" outlineLevel="0" collapsed="false">
      <c r="D560" s="13"/>
    </row>
    <row r="561" customFormat="false" ht="15.75" hidden="false" customHeight="true" outlineLevel="0" collapsed="false">
      <c r="D561" s="13"/>
    </row>
    <row r="562" customFormat="false" ht="15.75" hidden="false" customHeight="true" outlineLevel="0" collapsed="false">
      <c r="D562" s="13"/>
    </row>
    <row r="563" customFormat="false" ht="15.75" hidden="false" customHeight="true" outlineLevel="0" collapsed="false">
      <c r="D563" s="13"/>
    </row>
    <row r="564" customFormat="false" ht="15.75" hidden="false" customHeight="true" outlineLevel="0" collapsed="false">
      <c r="D564" s="13"/>
    </row>
    <row r="565" customFormat="false" ht="15.75" hidden="false" customHeight="true" outlineLevel="0" collapsed="false">
      <c r="D565" s="13"/>
    </row>
    <row r="566" customFormat="false" ht="15.75" hidden="false" customHeight="true" outlineLevel="0" collapsed="false">
      <c r="D566" s="13"/>
    </row>
    <row r="567" customFormat="false" ht="15.75" hidden="false" customHeight="true" outlineLevel="0" collapsed="false">
      <c r="D567" s="13"/>
    </row>
    <row r="568" customFormat="false" ht="15.75" hidden="false" customHeight="true" outlineLevel="0" collapsed="false">
      <c r="D568" s="13"/>
    </row>
    <row r="569" customFormat="false" ht="15.75" hidden="false" customHeight="true" outlineLevel="0" collapsed="false">
      <c r="D569" s="13"/>
    </row>
    <row r="570" customFormat="false" ht="15.75" hidden="false" customHeight="true" outlineLevel="0" collapsed="false">
      <c r="D570" s="13"/>
    </row>
    <row r="571" customFormat="false" ht="15.75" hidden="false" customHeight="true" outlineLevel="0" collapsed="false">
      <c r="D571" s="13"/>
    </row>
    <row r="572" customFormat="false" ht="15.75" hidden="false" customHeight="true" outlineLevel="0" collapsed="false">
      <c r="D572" s="13"/>
    </row>
    <row r="573" customFormat="false" ht="15.75" hidden="false" customHeight="true" outlineLevel="0" collapsed="false">
      <c r="D573" s="13"/>
    </row>
    <row r="574" customFormat="false" ht="15.75" hidden="false" customHeight="true" outlineLevel="0" collapsed="false">
      <c r="D574" s="13"/>
    </row>
    <row r="575" customFormat="false" ht="15.75" hidden="false" customHeight="true" outlineLevel="0" collapsed="false">
      <c r="D575" s="13"/>
    </row>
    <row r="576" customFormat="false" ht="15.75" hidden="false" customHeight="true" outlineLevel="0" collapsed="false">
      <c r="D576" s="13"/>
    </row>
    <row r="577" customFormat="false" ht="15.75" hidden="false" customHeight="true" outlineLevel="0" collapsed="false">
      <c r="D577" s="13"/>
    </row>
    <row r="578" customFormat="false" ht="15.75" hidden="false" customHeight="true" outlineLevel="0" collapsed="false">
      <c r="D578" s="13"/>
    </row>
    <row r="579" customFormat="false" ht="15.75" hidden="false" customHeight="true" outlineLevel="0" collapsed="false">
      <c r="D579" s="13"/>
    </row>
    <row r="580" customFormat="false" ht="15.75" hidden="false" customHeight="true" outlineLevel="0" collapsed="false">
      <c r="D580" s="13"/>
    </row>
    <row r="581" customFormat="false" ht="15.75" hidden="false" customHeight="true" outlineLevel="0" collapsed="false">
      <c r="D581" s="13"/>
    </row>
    <row r="582" customFormat="false" ht="15.75" hidden="false" customHeight="true" outlineLevel="0" collapsed="false">
      <c r="D582" s="13"/>
    </row>
    <row r="583" customFormat="false" ht="15.75" hidden="false" customHeight="true" outlineLevel="0" collapsed="false">
      <c r="D583" s="13"/>
    </row>
    <row r="584" customFormat="false" ht="15.75" hidden="false" customHeight="true" outlineLevel="0" collapsed="false">
      <c r="D584" s="13"/>
    </row>
    <row r="585" customFormat="false" ht="15.75" hidden="false" customHeight="true" outlineLevel="0" collapsed="false">
      <c r="D585" s="13"/>
    </row>
    <row r="586" customFormat="false" ht="15.75" hidden="false" customHeight="true" outlineLevel="0" collapsed="false">
      <c r="D586" s="13"/>
    </row>
    <row r="587" customFormat="false" ht="15.75" hidden="false" customHeight="true" outlineLevel="0" collapsed="false">
      <c r="D587" s="13"/>
    </row>
    <row r="588" customFormat="false" ht="15.75" hidden="false" customHeight="true" outlineLevel="0" collapsed="false">
      <c r="D588" s="13"/>
    </row>
    <row r="589" customFormat="false" ht="15.75" hidden="false" customHeight="true" outlineLevel="0" collapsed="false">
      <c r="D589" s="13"/>
    </row>
    <row r="590" customFormat="false" ht="15.75" hidden="false" customHeight="true" outlineLevel="0" collapsed="false">
      <c r="D590" s="13"/>
    </row>
    <row r="591" customFormat="false" ht="15.75" hidden="false" customHeight="true" outlineLevel="0" collapsed="false">
      <c r="D591" s="13"/>
    </row>
    <row r="592" customFormat="false" ht="15.75" hidden="false" customHeight="true" outlineLevel="0" collapsed="false">
      <c r="D592" s="13"/>
    </row>
    <row r="593" customFormat="false" ht="15.75" hidden="false" customHeight="true" outlineLevel="0" collapsed="false">
      <c r="D593" s="13"/>
    </row>
    <row r="594" customFormat="false" ht="15.75" hidden="false" customHeight="true" outlineLevel="0" collapsed="false">
      <c r="D594" s="13"/>
    </row>
    <row r="595" customFormat="false" ht="15.75" hidden="false" customHeight="true" outlineLevel="0" collapsed="false">
      <c r="D595" s="13"/>
    </row>
    <row r="596" customFormat="false" ht="15.75" hidden="false" customHeight="true" outlineLevel="0" collapsed="false">
      <c r="D596" s="13"/>
    </row>
    <row r="597" customFormat="false" ht="15.75" hidden="false" customHeight="true" outlineLevel="0" collapsed="false">
      <c r="D597" s="13"/>
    </row>
    <row r="598" customFormat="false" ht="15.75" hidden="false" customHeight="true" outlineLevel="0" collapsed="false">
      <c r="D598" s="13"/>
    </row>
    <row r="599" customFormat="false" ht="15.75" hidden="false" customHeight="true" outlineLevel="0" collapsed="false">
      <c r="D599" s="13"/>
    </row>
    <row r="600" customFormat="false" ht="15.75" hidden="false" customHeight="true" outlineLevel="0" collapsed="false">
      <c r="D600" s="13"/>
    </row>
    <row r="601" customFormat="false" ht="15.75" hidden="false" customHeight="true" outlineLevel="0" collapsed="false">
      <c r="D601" s="13"/>
    </row>
    <row r="602" customFormat="false" ht="15.75" hidden="false" customHeight="true" outlineLevel="0" collapsed="false">
      <c r="D602" s="13"/>
    </row>
    <row r="603" customFormat="false" ht="15.75" hidden="false" customHeight="true" outlineLevel="0" collapsed="false">
      <c r="D603" s="13"/>
    </row>
    <row r="604" customFormat="false" ht="15.75" hidden="false" customHeight="true" outlineLevel="0" collapsed="false">
      <c r="D604" s="13"/>
    </row>
    <row r="605" customFormat="false" ht="15.75" hidden="false" customHeight="true" outlineLevel="0" collapsed="false">
      <c r="D605" s="13"/>
    </row>
    <row r="606" customFormat="false" ht="15.75" hidden="false" customHeight="true" outlineLevel="0" collapsed="false">
      <c r="D606" s="13"/>
    </row>
    <row r="607" customFormat="false" ht="15.75" hidden="false" customHeight="true" outlineLevel="0" collapsed="false">
      <c r="D607" s="13"/>
    </row>
    <row r="608" customFormat="false" ht="15.75" hidden="false" customHeight="true" outlineLevel="0" collapsed="false">
      <c r="D608" s="13"/>
    </row>
    <row r="609" customFormat="false" ht="15.75" hidden="false" customHeight="true" outlineLevel="0" collapsed="false">
      <c r="D609" s="13"/>
    </row>
    <row r="610" customFormat="false" ht="15.75" hidden="false" customHeight="true" outlineLevel="0" collapsed="false">
      <c r="D610" s="13"/>
    </row>
    <row r="611" customFormat="false" ht="15.75" hidden="false" customHeight="true" outlineLevel="0" collapsed="false">
      <c r="D611" s="13"/>
    </row>
    <row r="612" customFormat="false" ht="15.75" hidden="false" customHeight="true" outlineLevel="0" collapsed="false">
      <c r="D612" s="13"/>
    </row>
    <row r="613" customFormat="false" ht="15.75" hidden="false" customHeight="true" outlineLevel="0" collapsed="false">
      <c r="D613" s="13"/>
    </row>
    <row r="614" customFormat="false" ht="15.75" hidden="false" customHeight="true" outlineLevel="0" collapsed="false">
      <c r="D614" s="13"/>
    </row>
    <row r="615" customFormat="false" ht="15.75" hidden="false" customHeight="true" outlineLevel="0" collapsed="false">
      <c r="D615" s="13"/>
    </row>
    <row r="616" customFormat="false" ht="15.75" hidden="false" customHeight="true" outlineLevel="0" collapsed="false">
      <c r="D616" s="13"/>
    </row>
    <row r="617" customFormat="false" ht="15.75" hidden="false" customHeight="true" outlineLevel="0" collapsed="false">
      <c r="D617" s="13"/>
    </row>
    <row r="618" customFormat="false" ht="15.75" hidden="false" customHeight="true" outlineLevel="0" collapsed="false">
      <c r="D618" s="13"/>
    </row>
    <row r="619" customFormat="false" ht="15.75" hidden="false" customHeight="true" outlineLevel="0" collapsed="false">
      <c r="D619" s="13"/>
    </row>
    <row r="620" customFormat="false" ht="15.75" hidden="false" customHeight="true" outlineLevel="0" collapsed="false">
      <c r="D620" s="13"/>
    </row>
    <row r="621" customFormat="false" ht="15.75" hidden="false" customHeight="true" outlineLevel="0" collapsed="false">
      <c r="D621" s="13"/>
    </row>
    <row r="622" customFormat="false" ht="15.75" hidden="false" customHeight="true" outlineLevel="0" collapsed="false">
      <c r="D622" s="13"/>
    </row>
    <row r="623" customFormat="false" ht="15.75" hidden="false" customHeight="true" outlineLevel="0" collapsed="false">
      <c r="D623" s="13"/>
    </row>
    <row r="624" customFormat="false" ht="15.75" hidden="false" customHeight="true" outlineLevel="0" collapsed="false">
      <c r="D624" s="13"/>
    </row>
    <row r="625" customFormat="false" ht="15.75" hidden="false" customHeight="true" outlineLevel="0" collapsed="false">
      <c r="D625" s="13"/>
    </row>
    <row r="626" customFormat="false" ht="15.75" hidden="false" customHeight="true" outlineLevel="0" collapsed="false">
      <c r="D626" s="13"/>
    </row>
    <row r="627" customFormat="false" ht="15.75" hidden="false" customHeight="true" outlineLevel="0" collapsed="false">
      <c r="D627" s="13"/>
    </row>
    <row r="628" customFormat="false" ht="15.75" hidden="false" customHeight="true" outlineLevel="0" collapsed="false">
      <c r="D628" s="13"/>
    </row>
    <row r="629" customFormat="false" ht="15.75" hidden="false" customHeight="true" outlineLevel="0" collapsed="false">
      <c r="D629" s="13"/>
    </row>
    <row r="630" customFormat="false" ht="15.75" hidden="false" customHeight="true" outlineLevel="0" collapsed="false">
      <c r="D630" s="13"/>
    </row>
    <row r="631" customFormat="false" ht="15.75" hidden="false" customHeight="true" outlineLevel="0" collapsed="false">
      <c r="D631" s="13"/>
    </row>
    <row r="632" customFormat="false" ht="15.75" hidden="false" customHeight="true" outlineLevel="0" collapsed="false">
      <c r="D632" s="13"/>
    </row>
    <row r="633" customFormat="false" ht="15.75" hidden="false" customHeight="true" outlineLevel="0" collapsed="false">
      <c r="D633" s="13"/>
    </row>
    <row r="634" customFormat="false" ht="15.75" hidden="false" customHeight="true" outlineLevel="0" collapsed="false">
      <c r="D634" s="13"/>
    </row>
    <row r="635" customFormat="false" ht="15.75" hidden="false" customHeight="true" outlineLevel="0" collapsed="false">
      <c r="D635" s="13"/>
    </row>
    <row r="636" customFormat="false" ht="15.75" hidden="false" customHeight="true" outlineLevel="0" collapsed="false">
      <c r="D636" s="13"/>
    </row>
    <row r="637" customFormat="false" ht="15.75" hidden="false" customHeight="true" outlineLevel="0" collapsed="false">
      <c r="D637" s="13"/>
    </row>
    <row r="638" customFormat="false" ht="15.75" hidden="false" customHeight="true" outlineLevel="0" collapsed="false">
      <c r="D638" s="13"/>
    </row>
    <row r="639" customFormat="false" ht="15.75" hidden="false" customHeight="true" outlineLevel="0" collapsed="false">
      <c r="D639" s="13"/>
    </row>
    <row r="640" customFormat="false" ht="15.75" hidden="false" customHeight="true" outlineLevel="0" collapsed="false">
      <c r="D640" s="13"/>
    </row>
    <row r="641" customFormat="false" ht="15.75" hidden="false" customHeight="true" outlineLevel="0" collapsed="false">
      <c r="D641" s="13"/>
    </row>
    <row r="642" customFormat="false" ht="15.75" hidden="false" customHeight="true" outlineLevel="0" collapsed="false">
      <c r="D642" s="13"/>
    </row>
    <row r="643" customFormat="false" ht="15.75" hidden="false" customHeight="true" outlineLevel="0" collapsed="false">
      <c r="D643" s="13"/>
    </row>
    <row r="644" customFormat="false" ht="15.75" hidden="false" customHeight="true" outlineLevel="0" collapsed="false">
      <c r="D644" s="13"/>
    </row>
    <row r="645" customFormat="false" ht="15.75" hidden="false" customHeight="true" outlineLevel="0" collapsed="false">
      <c r="D645" s="13"/>
    </row>
    <row r="646" customFormat="false" ht="15.75" hidden="false" customHeight="true" outlineLevel="0" collapsed="false">
      <c r="D646" s="13"/>
    </row>
    <row r="647" customFormat="false" ht="15.75" hidden="false" customHeight="true" outlineLevel="0" collapsed="false">
      <c r="D647" s="13"/>
    </row>
    <row r="648" customFormat="false" ht="15.75" hidden="false" customHeight="true" outlineLevel="0" collapsed="false">
      <c r="D648" s="13"/>
    </row>
    <row r="649" customFormat="false" ht="15.75" hidden="false" customHeight="true" outlineLevel="0" collapsed="false">
      <c r="D649" s="13"/>
    </row>
    <row r="650" customFormat="false" ht="15.75" hidden="false" customHeight="true" outlineLevel="0" collapsed="false">
      <c r="D650" s="13"/>
    </row>
    <row r="651" customFormat="false" ht="15.75" hidden="false" customHeight="true" outlineLevel="0" collapsed="false">
      <c r="D651" s="13"/>
    </row>
    <row r="652" customFormat="false" ht="15.75" hidden="false" customHeight="true" outlineLevel="0" collapsed="false">
      <c r="D652" s="13"/>
    </row>
    <row r="653" customFormat="false" ht="15.75" hidden="false" customHeight="true" outlineLevel="0" collapsed="false">
      <c r="D653" s="13"/>
    </row>
    <row r="654" customFormat="false" ht="15.75" hidden="false" customHeight="true" outlineLevel="0" collapsed="false">
      <c r="D654" s="13"/>
    </row>
    <row r="655" customFormat="false" ht="15.75" hidden="false" customHeight="true" outlineLevel="0" collapsed="false">
      <c r="D655" s="13"/>
    </row>
    <row r="656" customFormat="false" ht="15.75" hidden="false" customHeight="true" outlineLevel="0" collapsed="false">
      <c r="D656" s="13"/>
    </row>
    <row r="657" customFormat="false" ht="15.75" hidden="false" customHeight="true" outlineLevel="0" collapsed="false">
      <c r="D657" s="13"/>
    </row>
    <row r="658" customFormat="false" ht="15.75" hidden="false" customHeight="true" outlineLevel="0" collapsed="false">
      <c r="D658" s="13"/>
    </row>
    <row r="659" customFormat="false" ht="15.75" hidden="false" customHeight="true" outlineLevel="0" collapsed="false">
      <c r="D659" s="13"/>
    </row>
    <row r="660" customFormat="false" ht="15.75" hidden="false" customHeight="true" outlineLevel="0" collapsed="false">
      <c r="D660" s="13"/>
    </row>
    <row r="661" customFormat="false" ht="15.75" hidden="false" customHeight="true" outlineLevel="0" collapsed="false">
      <c r="D661" s="13"/>
    </row>
    <row r="662" customFormat="false" ht="15.75" hidden="false" customHeight="true" outlineLevel="0" collapsed="false">
      <c r="D662" s="13"/>
    </row>
    <row r="663" customFormat="false" ht="15.75" hidden="false" customHeight="true" outlineLevel="0" collapsed="false">
      <c r="D663" s="13"/>
    </row>
    <row r="664" customFormat="false" ht="15.75" hidden="false" customHeight="true" outlineLevel="0" collapsed="false">
      <c r="D664" s="13"/>
    </row>
    <row r="665" customFormat="false" ht="15.75" hidden="false" customHeight="true" outlineLevel="0" collapsed="false">
      <c r="D665" s="13"/>
    </row>
    <row r="666" customFormat="false" ht="15.75" hidden="false" customHeight="true" outlineLevel="0" collapsed="false">
      <c r="D666" s="13"/>
    </row>
    <row r="667" customFormat="false" ht="15.75" hidden="false" customHeight="true" outlineLevel="0" collapsed="false">
      <c r="D667" s="13"/>
    </row>
    <row r="668" customFormat="false" ht="15.75" hidden="false" customHeight="true" outlineLevel="0" collapsed="false">
      <c r="D668" s="13"/>
    </row>
    <row r="669" customFormat="false" ht="15.75" hidden="false" customHeight="true" outlineLevel="0" collapsed="false">
      <c r="D669" s="13"/>
    </row>
    <row r="670" customFormat="false" ht="15.75" hidden="false" customHeight="true" outlineLevel="0" collapsed="false">
      <c r="D670" s="13"/>
    </row>
    <row r="671" customFormat="false" ht="15.75" hidden="false" customHeight="true" outlineLevel="0" collapsed="false">
      <c r="D671" s="13"/>
    </row>
    <row r="672" customFormat="false" ht="15.75" hidden="false" customHeight="true" outlineLevel="0" collapsed="false">
      <c r="D672" s="13"/>
    </row>
    <row r="673" customFormat="false" ht="15.75" hidden="false" customHeight="true" outlineLevel="0" collapsed="false">
      <c r="D673" s="13"/>
    </row>
    <row r="674" customFormat="false" ht="15.75" hidden="false" customHeight="true" outlineLevel="0" collapsed="false">
      <c r="D674" s="13"/>
    </row>
    <row r="675" customFormat="false" ht="15.75" hidden="false" customHeight="true" outlineLevel="0" collapsed="false">
      <c r="D675" s="13"/>
    </row>
    <row r="676" customFormat="false" ht="15.75" hidden="false" customHeight="true" outlineLevel="0" collapsed="false">
      <c r="D676" s="13"/>
    </row>
    <row r="677" customFormat="false" ht="15.75" hidden="false" customHeight="true" outlineLevel="0" collapsed="false">
      <c r="D677" s="13"/>
    </row>
    <row r="678" customFormat="false" ht="15.75" hidden="false" customHeight="true" outlineLevel="0" collapsed="false">
      <c r="D678" s="13"/>
    </row>
    <row r="679" customFormat="false" ht="15.75" hidden="false" customHeight="true" outlineLevel="0" collapsed="false">
      <c r="D679" s="13"/>
    </row>
    <row r="680" customFormat="false" ht="15.75" hidden="false" customHeight="true" outlineLevel="0" collapsed="false">
      <c r="D680" s="13"/>
    </row>
    <row r="681" customFormat="false" ht="15.75" hidden="false" customHeight="true" outlineLevel="0" collapsed="false">
      <c r="D681" s="13"/>
    </row>
    <row r="682" customFormat="false" ht="15.75" hidden="false" customHeight="true" outlineLevel="0" collapsed="false">
      <c r="D682" s="13"/>
    </row>
    <row r="683" customFormat="false" ht="15.75" hidden="false" customHeight="true" outlineLevel="0" collapsed="false">
      <c r="D683" s="13"/>
    </row>
    <row r="684" customFormat="false" ht="15.75" hidden="false" customHeight="true" outlineLevel="0" collapsed="false">
      <c r="D684" s="13"/>
    </row>
    <row r="685" customFormat="false" ht="15.75" hidden="false" customHeight="true" outlineLevel="0" collapsed="false">
      <c r="D685" s="13"/>
    </row>
    <row r="686" customFormat="false" ht="15.75" hidden="false" customHeight="true" outlineLevel="0" collapsed="false">
      <c r="D686" s="13"/>
    </row>
    <row r="687" customFormat="false" ht="15.75" hidden="false" customHeight="true" outlineLevel="0" collapsed="false">
      <c r="D687" s="13"/>
    </row>
    <row r="688" customFormat="false" ht="15.75" hidden="false" customHeight="true" outlineLevel="0" collapsed="false">
      <c r="D688" s="13"/>
    </row>
    <row r="689" customFormat="false" ht="15.75" hidden="false" customHeight="true" outlineLevel="0" collapsed="false">
      <c r="D689" s="13"/>
    </row>
    <row r="690" customFormat="false" ht="15.75" hidden="false" customHeight="true" outlineLevel="0" collapsed="false">
      <c r="D690" s="13"/>
    </row>
    <row r="691" customFormat="false" ht="15.75" hidden="false" customHeight="true" outlineLevel="0" collapsed="false">
      <c r="D691" s="13"/>
    </row>
    <row r="692" customFormat="false" ht="15.75" hidden="false" customHeight="true" outlineLevel="0" collapsed="false">
      <c r="D692" s="13"/>
    </row>
    <row r="693" customFormat="false" ht="15.75" hidden="false" customHeight="true" outlineLevel="0" collapsed="false">
      <c r="D693" s="13"/>
    </row>
    <row r="694" customFormat="false" ht="15.75" hidden="false" customHeight="true" outlineLevel="0" collapsed="false">
      <c r="D694" s="13"/>
    </row>
    <row r="695" customFormat="false" ht="15.75" hidden="false" customHeight="true" outlineLevel="0" collapsed="false">
      <c r="D695" s="13"/>
    </row>
    <row r="696" customFormat="false" ht="15.75" hidden="false" customHeight="true" outlineLevel="0" collapsed="false">
      <c r="D696" s="13"/>
    </row>
    <row r="697" customFormat="false" ht="15.75" hidden="false" customHeight="true" outlineLevel="0" collapsed="false">
      <c r="D697" s="13"/>
    </row>
    <row r="698" customFormat="false" ht="15.75" hidden="false" customHeight="true" outlineLevel="0" collapsed="false">
      <c r="D698" s="13"/>
    </row>
    <row r="699" customFormat="false" ht="15.75" hidden="false" customHeight="true" outlineLevel="0" collapsed="false">
      <c r="D699" s="13"/>
    </row>
    <row r="700" customFormat="false" ht="15.75" hidden="false" customHeight="true" outlineLevel="0" collapsed="false">
      <c r="D700" s="13"/>
    </row>
    <row r="701" customFormat="false" ht="15.75" hidden="false" customHeight="true" outlineLevel="0" collapsed="false">
      <c r="D701" s="13"/>
    </row>
    <row r="702" customFormat="false" ht="15.75" hidden="false" customHeight="true" outlineLevel="0" collapsed="false">
      <c r="D702" s="13"/>
    </row>
    <row r="703" customFormat="false" ht="15.75" hidden="false" customHeight="true" outlineLevel="0" collapsed="false">
      <c r="D703" s="13"/>
    </row>
    <row r="704" customFormat="false" ht="15.75" hidden="false" customHeight="true" outlineLevel="0" collapsed="false">
      <c r="D704" s="13"/>
    </row>
    <row r="705" customFormat="false" ht="15.75" hidden="false" customHeight="true" outlineLevel="0" collapsed="false">
      <c r="D705" s="13"/>
    </row>
    <row r="706" customFormat="false" ht="15.75" hidden="false" customHeight="true" outlineLevel="0" collapsed="false">
      <c r="D706" s="13"/>
    </row>
    <row r="707" customFormat="false" ht="15.75" hidden="false" customHeight="true" outlineLevel="0" collapsed="false">
      <c r="D707" s="13"/>
    </row>
    <row r="708" customFormat="false" ht="15.75" hidden="false" customHeight="true" outlineLevel="0" collapsed="false">
      <c r="D708" s="13"/>
    </row>
    <row r="709" customFormat="false" ht="15.75" hidden="false" customHeight="true" outlineLevel="0" collapsed="false">
      <c r="D709" s="13"/>
    </row>
    <row r="710" customFormat="false" ht="15.75" hidden="false" customHeight="true" outlineLevel="0" collapsed="false">
      <c r="D710" s="13"/>
    </row>
    <row r="711" customFormat="false" ht="15.75" hidden="false" customHeight="true" outlineLevel="0" collapsed="false">
      <c r="D711" s="13"/>
    </row>
    <row r="712" customFormat="false" ht="15.75" hidden="false" customHeight="true" outlineLevel="0" collapsed="false">
      <c r="D712" s="13"/>
    </row>
    <row r="713" customFormat="false" ht="15.75" hidden="false" customHeight="true" outlineLevel="0" collapsed="false">
      <c r="D713" s="13"/>
    </row>
    <row r="714" customFormat="false" ht="15.75" hidden="false" customHeight="true" outlineLevel="0" collapsed="false">
      <c r="D714" s="13"/>
    </row>
    <row r="715" customFormat="false" ht="15.75" hidden="false" customHeight="true" outlineLevel="0" collapsed="false">
      <c r="D715" s="13"/>
    </row>
    <row r="716" customFormat="false" ht="15.75" hidden="false" customHeight="true" outlineLevel="0" collapsed="false">
      <c r="D716" s="13"/>
    </row>
    <row r="717" customFormat="false" ht="15.75" hidden="false" customHeight="true" outlineLevel="0" collapsed="false">
      <c r="D717" s="13"/>
    </row>
    <row r="718" customFormat="false" ht="15.75" hidden="false" customHeight="true" outlineLevel="0" collapsed="false">
      <c r="D718" s="13"/>
    </row>
    <row r="719" customFormat="false" ht="15.75" hidden="false" customHeight="true" outlineLevel="0" collapsed="false">
      <c r="D719" s="13"/>
    </row>
    <row r="720" customFormat="false" ht="15.75" hidden="false" customHeight="true" outlineLevel="0" collapsed="false">
      <c r="D720" s="13"/>
    </row>
    <row r="721" customFormat="false" ht="15.75" hidden="false" customHeight="true" outlineLevel="0" collapsed="false">
      <c r="D721" s="13"/>
    </row>
    <row r="722" customFormat="false" ht="15.75" hidden="false" customHeight="true" outlineLevel="0" collapsed="false">
      <c r="D722" s="13"/>
    </row>
    <row r="723" customFormat="false" ht="15.75" hidden="false" customHeight="true" outlineLevel="0" collapsed="false">
      <c r="D723" s="13"/>
    </row>
    <row r="724" customFormat="false" ht="15.75" hidden="false" customHeight="true" outlineLevel="0" collapsed="false">
      <c r="D724" s="13"/>
    </row>
    <row r="725" customFormat="false" ht="15.75" hidden="false" customHeight="true" outlineLevel="0" collapsed="false">
      <c r="D725" s="13"/>
    </row>
    <row r="726" customFormat="false" ht="15.75" hidden="false" customHeight="true" outlineLevel="0" collapsed="false">
      <c r="D726" s="13"/>
    </row>
    <row r="727" customFormat="false" ht="15.75" hidden="false" customHeight="true" outlineLevel="0" collapsed="false">
      <c r="D727" s="13"/>
    </row>
    <row r="728" customFormat="false" ht="15.75" hidden="false" customHeight="true" outlineLevel="0" collapsed="false">
      <c r="D728" s="13"/>
    </row>
    <row r="729" customFormat="false" ht="15.75" hidden="false" customHeight="true" outlineLevel="0" collapsed="false">
      <c r="D729" s="13"/>
    </row>
    <row r="730" customFormat="false" ht="15.75" hidden="false" customHeight="true" outlineLevel="0" collapsed="false">
      <c r="D730" s="13"/>
    </row>
    <row r="731" customFormat="false" ht="15.75" hidden="false" customHeight="true" outlineLevel="0" collapsed="false">
      <c r="D731" s="13"/>
    </row>
    <row r="732" customFormat="false" ht="15.75" hidden="false" customHeight="true" outlineLevel="0" collapsed="false">
      <c r="D732" s="13"/>
    </row>
    <row r="733" customFormat="false" ht="15.75" hidden="false" customHeight="true" outlineLevel="0" collapsed="false">
      <c r="D733" s="13"/>
    </row>
    <row r="734" customFormat="false" ht="15.75" hidden="false" customHeight="true" outlineLevel="0" collapsed="false">
      <c r="D734" s="13"/>
    </row>
    <row r="735" customFormat="false" ht="15.75" hidden="false" customHeight="true" outlineLevel="0" collapsed="false">
      <c r="D735" s="13"/>
    </row>
    <row r="736" customFormat="false" ht="15.75" hidden="false" customHeight="true" outlineLevel="0" collapsed="false">
      <c r="D736" s="13"/>
    </row>
    <row r="737" customFormat="false" ht="15.75" hidden="false" customHeight="true" outlineLevel="0" collapsed="false">
      <c r="D737" s="13"/>
    </row>
    <row r="738" customFormat="false" ht="15.75" hidden="false" customHeight="true" outlineLevel="0" collapsed="false">
      <c r="D738" s="13"/>
    </row>
    <row r="739" customFormat="false" ht="15.75" hidden="false" customHeight="true" outlineLevel="0" collapsed="false">
      <c r="D739" s="13"/>
    </row>
    <row r="740" customFormat="false" ht="15.75" hidden="false" customHeight="true" outlineLevel="0" collapsed="false">
      <c r="D740" s="13"/>
    </row>
    <row r="741" customFormat="false" ht="15.75" hidden="false" customHeight="true" outlineLevel="0" collapsed="false">
      <c r="D741" s="13"/>
    </row>
    <row r="742" customFormat="false" ht="15.75" hidden="false" customHeight="true" outlineLevel="0" collapsed="false">
      <c r="D742" s="13"/>
    </row>
    <row r="743" customFormat="false" ht="15.75" hidden="false" customHeight="true" outlineLevel="0" collapsed="false">
      <c r="D743" s="13"/>
    </row>
    <row r="744" customFormat="false" ht="15.75" hidden="false" customHeight="true" outlineLevel="0" collapsed="false">
      <c r="D744" s="13"/>
    </row>
    <row r="745" customFormat="false" ht="15.75" hidden="false" customHeight="true" outlineLevel="0" collapsed="false">
      <c r="D745" s="13"/>
    </row>
    <row r="746" customFormat="false" ht="15.75" hidden="false" customHeight="true" outlineLevel="0" collapsed="false">
      <c r="D746" s="13"/>
    </row>
    <row r="747" customFormat="false" ht="15.75" hidden="false" customHeight="true" outlineLevel="0" collapsed="false">
      <c r="D747" s="13"/>
    </row>
    <row r="748" customFormat="false" ht="15.75" hidden="false" customHeight="true" outlineLevel="0" collapsed="false">
      <c r="D748" s="13"/>
    </row>
    <row r="749" customFormat="false" ht="15.75" hidden="false" customHeight="true" outlineLevel="0" collapsed="false">
      <c r="D749" s="13"/>
    </row>
    <row r="750" customFormat="false" ht="15.75" hidden="false" customHeight="true" outlineLevel="0" collapsed="false">
      <c r="D750" s="13"/>
    </row>
    <row r="751" customFormat="false" ht="15.75" hidden="false" customHeight="true" outlineLevel="0" collapsed="false">
      <c r="D751" s="13"/>
    </row>
    <row r="752" customFormat="false" ht="15.75" hidden="false" customHeight="true" outlineLevel="0" collapsed="false">
      <c r="D752" s="13"/>
    </row>
    <row r="753" customFormat="false" ht="15.75" hidden="false" customHeight="true" outlineLevel="0" collapsed="false">
      <c r="D753" s="13"/>
    </row>
    <row r="754" customFormat="false" ht="15.75" hidden="false" customHeight="true" outlineLevel="0" collapsed="false">
      <c r="D754" s="13"/>
    </row>
    <row r="755" customFormat="false" ht="15.75" hidden="false" customHeight="true" outlineLevel="0" collapsed="false">
      <c r="D755" s="13"/>
    </row>
    <row r="756" customFormat="false" ht="15.75" hidden="false" customHeight="true" outlineLevel="0" collapsed="false">
      <c r="D756" s="13"/>
    </row>
    <row r="757" customFormat="false" ht="15.75" hidden="false" customHeight="true" outlineLevel="0" collapsed="false">
      <c r="D757" s="13"/>
    </row>
    <row r="758" customFormat="false" ht="15.75" hidden="false" customHeight="true" outlineLevel="0" collapsed="false">
      <c r="D758" s="13"/>
    </row>
    <row r="759" customFormat="false" ht="15.75" hidden="false" customHeight="true" outlineLevel="0" collapsed="false">
      <c r="D759" s="13"/>
    </row>
    <row r="760" customFormat="false" ht="15.75" hidden="false" customHeight="true" outlineLevel="0" collapsed="false">
      <c r="D760" s="13"/>
    </row>
    <row r="761" customFormat="false" ht="15.75" hidden="false" customHeight="true" outlineLevel="0" collapsed="false">
      <c r="D761" s="13"/>
    </row>
    <row r="762" customFormat="false" ht="15.75" hidden="false" customHeight="true" outlineLevel="0" collapsed="false">
      <c r="D762" s="13"/>
    </row>
    <row r="763" customFormat="false" ht="15.75" hidden="false" customHeight="true" outlineLevel="0" collapsed="false">
      <c r="D763" s="13"/>
    </row>
    <row r="764" customFormat="false" ht="15.75" hidden="false" customHeight="true" outlineLevel="0" collapsed="false">
      <c r="D764" s="13"/>
    </row>
    <row r="765" customFormat="false" ht="15.75" hidden="false" customHeight="true" outlineLevel="0" collapsed="false">
      <c r="D765" s="13"/>
    </row>
    <row r="766" customFormat="false" ht="15.75" hidden="false" customHeight="true" outlineLevel="0" collapsed="false">
      <c r="D766" s="13"/>
    </row>
    <row r="767" customFormat="false" ht="15.75" hidden="false" customHeight="true" outlineLevel="0" collapsed="false">
      <c r="D767" s="13"/>
    </row>
    <row r="768" customFormat="false" ht="15.75" hidden="false" customHeight="true" outlineLevel="0" collapsed="false">
      <c r="D768" s="13"/>
    </row>
    <row r="769" customFormat="false" ht="15.75" hidden="false" customHeight="true" outlineLevel="0" collapsed="false">
      <c r="D769" s="13"/>
    </row>
    <row r="770" customFormat="false" ht="15.75" hidden="false" customHeight="true" outlineLevel="0" collapsed="false">
      <c r="D770" s="13"/>
    </row>
    <row r="771" customFormat="false" ht="15.75" hidden="false" customHeight="true" outlineLevel="0" collapsed="false">
      <c r="D771" s="13"/>
    </row>
    <row r="772" customFormat="false" ht="15.75" hidden="false" customHeight="true" outlineLevel="0" collapsed="false">
      <c r="D772" s="13"/>
    </row>
    <row r="773" customFormat="false" ht="15.75" hidden="false" customHeight="true" outlineLevel="0" collapsed="false">
      <c r="D773" s="13"/>
    </row>
    <row r="774" customFormat="false" ht="15.75" hidden="false" customHeight="true" outlineLevel="0" collapsed="false">
      <c r="D774" s="13"/>
    </row>
    <row r="775" customFormat="false" ht="15.75" hidden="false" customHeight="true" outlineLevel="0" collapsed="false">
      <c r="D775" s="13"/>
    </row>
    <row r="776" customFormat="false" ht="15.75" hidden="false" customHeight="true" outlineLevel="0" collapsed="false">
      <c r="D776" s="13"/>
    </row>
    <row r="777" customFormat="false" ht="15.75" hidden="false" customHeight="true" outlineLevel="0" collapsed="false">
      <c r="D777" s="13"/>
    </row>
    <row r="778" customFormat="false" ht="15.75" hidden="false" customHeight="true" outlineLevel="0" collapsed="false">
      <c r="D778" s="13"/>
    </row>
    <row r="779" customFormat="false" ht="15.75" hidden="false" customHeight="true" outlineLevel="0" collapsed="false">
      <c r="D779" s="13"/>
    </row>
    <row r="780" customFormat="false" ht="15.75" hidden="false" customHeight="true" outlineLevel="0" collapsed="false">
      <c r="D780" s="13"/>
    </row>
    <row r="781" customFormat="false" ht="15.75" hidden="false" customHeight="true" outlineLevel="0" collapsed="false">
      <c r="D781" s="13"/>
    </row>
    <row r="782" customFormat="false" ht="15.75" hidden="false" customHeight="true" outlineLevel="0" collapsed="false">
      <c r="D782" s="13"/>
    </row>
    <row r="783" customFormat="false" ht="15.75" hidden="false" customHeight="true" outlineLevel="0" collapsed="false">
      <c r="D783" s="13"/>
    </row>
    <row r="784" customFormat="false" ht="15.75" hidden="false" customHeight="true" outlineLevel="0" collapsed="false">
      <c r="D784" s="13"/>
    </row>
    <row r="785" customFormat="false" ht="15.75" hidden="false" customHeight="true" outlineLevel="0" collapsed="false">
      <c r="D785" s="13"/>
    </row>
    <row r="786" customFormat="false" ht="15.75" hidden="false" customHeight="true" outlineLevel="0" collapsed="false">
      <c r="D786" s="13"/>
    </row>
    <row r="787" customFormat="false" ht="15.75" hidden="false" customHeight="true" outlineLevel="0" collapsed="false">
      <c r="D787" s="13"/>
    </row>
    <row r="788" customFormat="false" ht="15.75" hidden="false" customHeight="true" outlineLevel="0" collapsed="false">
      <c r="D788" s="13"/>
    </row>
    <row r="789" customFormat="false" ht="15.75" hidden="false" customHeight="true" outlineLevel="0" collapsed="false">
      <c r="D789" s="13"/>
    </row>
    <row r="790" customFormat="false" ht="15.75" hidden="false" customHeight="true" outlineLevel="0" collapsed="false">
      <c r="D790" s="13"/>
    </row>
    <row r="791" customFormat="false" ht="15.75" hidden="false" customHeight="true" outlineLevel="0" collapsed="false">
      <c r="D791" s="13"/>
    </row>
    <row r="792" customFormat="false" ht="15.75" hidden="false" customHeight="true" outlineLevel="0" collapsed="false">
      <c r="D792" s="13"/>
    </row>
    <row r="793" customFormat="false" ht="15.75" hidden="false" customHeight="true" outlineLevel="0" collapsed="false">
      <c r="D793" s="13"/>
    </row>
    <row r="794" customFormat="false" ht="15.75" hidden="false" customHeight="true" outlineLevel="0" collapsed="false">
      <c r="D794" s="13"/>
    </row>
    <row r="795" customFormat="false" ht="15.75" hidden="false" customHeight="true" outlineLevel="0" collapsed="false">
      <c r="D795" s="13"/>
    </row>
    <row r="796" customFormat="false" ht="15.75" hidden="false" customHeight="true" outlineLevel="0" collapsed="false">
      <c r="D796" s="13"/>
    </row>
    <row r="797" customFormat="false" ht="15.75" hidden="false" customHeight="true" outlineLevel="0" collapsed="false">
      <c r="D797" s="13"/>
    </row>
    <row r="798" customFormat="false" ht="15.75" hidden="false" customHeight="true" outlineLevel="0" collapsed="false">
      <c r="D798" s="13"/>
    </row>
    <row r="799" customFormat="false" ht="15.75" hidden="false" customHeight="true" outlineLevel="0" collapsed="false">
      <c r="D799" s="13"/>
    </row>
    <row r="800" customFormat="false" ht="15.75" hidden="false" customHeight="true" outlineLevel="0" collapsed="false">
      <c r="D800" s="13"/>
    </row>
    <row r="801" customFormat="false" ht="15.75" hidden="false" customHeight="true" outlineLevel="0" collapsed="false">
      <c r="D801" s="13"/>
    </row>
    <row r="802" customFormat="false" ht="15.75" hidden="false" customHeight="true" outlineLevel="0" collapsed="false">
      <c r="D802" s="13"/>
    </row>
    <row r="803" customFormat="false" ht="15.75" hidden="false" customHeight="true" outlineLevel="0" collapsed="false">
      <c r="D803" s="13"/>
    </row>
    <row r="804" customFormat="false" ht="15.75" hidden="false" customHeight="true" outlineLevel="0" collapsed="false">
      <c r="D804" s="13"/>
    </row>
    <row r="805" customFormat="false" ht="15.75" hidden="false" customHeight="true" outlineLevel="0" collapsed="false">
      <c r="D805" s="13"/>
    </row>
    <row r="806" customFormat="false" ht="15.75" hidden="false" customHeight="true" outlineLevel="0" collapsed="false">
      <c r="D806" s="13"/>
    </row>
    <row r="807" customFormat="false" ht="15.75" hidden="false" customHeight="true" outlineLevel="0" collapsed="false">
      <c r="D807" s="13"/>
    </row>
    <row r="808" customFormat="false" ht="15.75" hidden="false" customHeight="true" outlineLevel="0" collapsed="false">
      <c r="D808" s="13"/>
    </row>
    <row r="809" customFormat="false" ht="15.75" hidden="false" customHeight="true" outlineLevel="0" collapsed="false">
      <c r="D809" s="13"/>
    </row>
    <row r="810" customFormat="false" ht="15.75" hidden="false" customHeight="true" outlineLevel="0" collapsed="false">
      <c r="D810" s="13"/>
    </row>
    <row r="811" customFormat="false" ht="15.75" hidden="false" customHeight="true" outlineLevel="0" collapsed="false">
      <c r="D811" s="13"/>
    </row>
    <row r="812" customFormat="false" ht="15.75" hidden="false" customHeight="true" outlineLevel="0" collapsed="false">
      <c r="D812" s="13"/>
    </row>
    <row r="813" customFormat="false" ht="15.75" hidden="false" customHeight="true" outlineLevel="0" collapsed="false">
      <c r="D813" s="13"/>
    </row>
    <row r="814" customFormat="false" ht="15.75" hidden="false" customHeight="true" outlineLevel="0" collapsed="false">
      <c r="D814" s="13"/>
    </row>
    <row r="815" customFormat="false" ht="15.75" hidden="false" customHeight="true" outlineLevel="0" collapsed="false">
      <c r="D815" s="13"/>
    </row>
    <row r="816" customFormat="false" ht="15.75" hidden="false" customHeight="true" outlineLevel="0" collapsed="false">
      <c r="D816" s="13"/>
    </row>
    <row r="817" customFormat="false" ht="15.75" hidden="false" customHeight="true" outlineLevel="0" collapsed="false">
      <c r="D817" s="13"/>
    </row>
    <row r="818" customFormat="false" ht="15.75" hidden="false" customHeight="true" outlineLevel="0" collapsed="false">
      <c r="D818" s="13"/>
    </row>
    <row r="819" customFormat="false" ht="15.75" hidden="false" customHeight="true" outlineLevel="0" collapsed="false">
      <c r="D819" s="13"/>
    </row>
    <row r="820" customFormat="false" ht="15.75" hidden="false" customHeight="true" outlineLevel="0" collapsed="false">
      <c r="D820" s="13"/>
    </row>
    <row r="821" customFormat="false" ht="15.75" hidden="false" customHeight="true" outlineLevel="0" collapsed="false">
      <c r="D821" s="13"/>
    </row>
    <row r="822" customFormat="false" ht="15.75" hidden="false" customHeight="true" outlineLevel="0" collapsed="false">
      <c r="D822" s="13"/>
    </row>
    <row r="823" customFormat="false" ht="15.75" hidden="false" customHeight="true" outlineLevel="0" collapsed="false">
      <c r="D823" s="13"/>
    </row>
    <row r="824" customFormat="false" ht="15.75" hidden="false" customHeight="true" outlineLevel="0" collapsed="false">
      <c r="D824" s="13"/>
    </row>
    <row r="825" customFormat="false" ht="15.75" hidden="false" customHeight="true" outlineLevel="0" collapsed="false">
      <c r="D825" s="13"/>
    </row>
    <row r="826" customFormat="false" ht="15.75" hidden="false" customHeight="true" outlineLevel="0" collapsed="false">
      <c r="D826" s="13"/>
    </row>
    <row r="827" customFormat="false" ht="15.75" hidden="false" customHeight="true" outlineLevel="0" collapsed="false">
      <c r="D827" s="13"/>
    </row>
    <row r="828" customFormat="false" ht="15.75" hidden="false" customHeight="true" outlineLevel="0" collapsed="false">
      <c r="D828" s="13"/>
    </row>
    <row r="829" customFormat="false" ht="15.75" hidden="false" customHeight="true" outlineLevel="0" collapsed="false">
      <c r="D829" s="13"/>
    </row>
    <row r="830" customFormat="false" ht="15.75" hidden="false" customHeight="true" outlineLevel="0" collapsed="false">
      <c r="D830" s="13"/>
    </row>
    <row r="831" customFormat="false" ht="15.75" hidden="false" customHeight="true" outlineLevel="0" collapsed="false">
      <c r="D831" s="13"/>
    </row>
    <row r="832" customFormat="false" ht="15.75" hidden="false" customHeight="true" outlineLevel="0" collapsed="false">
      <c r="D832" s="13"/>
    </row>
    <row r="833" customFormat="false" ht="15.75" hidden="false" customHeight="true" outlineLevel="0" collapsed="false">
      <c r="D833" s="13"/>
    </row>
    <row r="834" customFormat="false" ht="15.75" hidden="false" customHeight="true" outlineLevel="0" collapsed="false">
      <c r="D834" s="13"/>
    </row>
    <row r="835" customFormat="false" ht="15.75" hidden="false" customHeight="true" outlineLevel="0" collapsed="false">
      <c r="D835" s="13"/>
    </row>
    <row r="836" customFormat="false" ht="15.75" hidden="false" customHeight="true" outlineLevel="0" collapsed="false">
      <c r="D836" s="13"/>
    </row>
    <row r="837" customFormat="false" ht="15.75" hidden="false" customHeight="true" outlineLevel="0" collapsed="false">
      <c r="D837" s="13"/>
    </row>
    <row r="838" customFormat="false" ht="15.75" hidden="false" customHeight="true" outlineLevel="0" collapsed="false">
      <c r="D838" s="13"/>
    </row>
    <row r="839" customFormat="false" ht="15.75" hidden="false" customHeight="true" outlineLevel="0" collapsed="false">
      <c r="D839" s="13"/>
    </row>
    <row r="840" customFormat="false" ht="15.75" hidden="false" customHeight="true" outlineLevel="0" collapsed="false">
      <c r="D840" s="13"/>
    </row>
    <row r="841" customFormat="false" ht="15.75" hidden="false" customHeight="true" outlineLevel="0" collapsed="false">
      <c r="D841" s="13"/>
    </row>
    <row r="842" customFormat="false" ht="15.75" hidden="false" customHeight="true" outlineLevel="0" collapsed="false">
      <c r="D842" s="13"/>
    </row>
    <row r="843" customFormat="false" ht="15.75" hidden="false" customHeight="true" outlineLevel="0" collapsed="false">
      <c r="D843" s="13"/>
    </row>
    <row r="844" customFormat="false" ht="15.75" hidden="false" customHeight="true" outlineLevel="0" collapsed="false">
      <c r="D844" s="13"/>
    </row>
    <row r="845" customFormat="false" ht="15.75" hidden="false" customHeight="true" outlineLevel="0" collapsed="false">
      <c r="D845" s="13"/>
    </row>
    <row r="846" customFormat="false" ht="15.75" hidden="false" customHeight="true" outlineLevel="0" collapsed="false">
      <c r="D846" s="13"/>
    </row>
    <row r="847" customFormat="false" ht="15.75" hidden="false" customHeight="true" outlineLevel="0" collapsed="false">
      <c r="D847" s="13"/>
    </row>
    <row r="848" customFormat="false" ht="15.75" hidden="false" customHeight="true" outlineLevel="0" collapsed="false">
      <c r="D848" s="13"/>
    </row>
    <row r="849" customFormat="false" ht="15.75" hidden="false" customHeight="true" outlineLevel="0" collapsed="false">
      <c r="D849" s="13"/>
    </row>
    <row r="850" customFormat="false" ht="15.75" hidden="false" customHeight="true" outlineLevel="0" collapsed="false">
      <c r="D850" s="13"/>
    </row>
    <row r="851" customFormat="false" ht="15.75" hidden="false" customHeight="true" outlineLevel="0" collapsed="false">
      <c r="D851" s="13"/>
    </row>
    <row r="852" customFormat="false" ht="15.75" hidden="false" customHeight="true" outlineLevel="0" collapsed="false">
      <c r="D852" s="13"/>
    </row>
    <row r="853" customFormat="false" ht="15.75" hidden="false" customHeight="true" outlineLevel="0" collapsed="false">
      <c r="D853" s="13"/>
    </row>
    <row r="854" customFormat="false" ht="15.75" hidden="false" customHeight="true" outlineLevel="0" collapsed="false">
      <c r="D854" s="13"/>
    </row>
    <row r="855" customFormat="false" ht="15.75" hidden="false" customHeight="true" outlineLevel="0" collapsed="false">
      <c r="D855" s="13"/>
    </row>
    <row r="856" customFormat="false" ht="15.75" hidden="false" customHeight="true" outlineLevel="0" collapsed="false">
      <c r="D856" s="13"/>
    </row>
    <row r="857" customFormat="false" ht="15.75" hidden="false" customHeight="true" outlineLevel="0" collapsed="false">
      <c r="D857" s="13"/>
    </row>
    <row r="858" customFormat="false" ht="15.75" hidden="false" customHeight="true" outlineLevel="0" collapsed="false">
      <c r="D858" s="13"/>
    </row>
    <row r="859" customFormat="false" ht="15.75" hidden="false" customHeight="true" outlineLevel="0" collapsed="false">
      <c r="D859" s="13"/>
    </row>
    <row r="860" customFormat="false" ht="15.75" hidden="false" customHeight="true" outlineLevel="0" collapsed="false">
      <c r="D860" s="13"/>
    </row>
    <row r="861" customFormat="false" ht="15.75" hidden="false" customHeight="true" outlineLevel="0" collapsed="false">
      <c r="D861" s="13"/>
    </row>
    <row r="862" customFormat="false" ht="15.75" hidden="false" customHeight="true" outlineLevel="0" collapsed="false">
      <c r="D862" s="13"/>
    </row>
    <row r="863" customFormat="false" ht="15.75" hidden="false" customHeight="true" outlineLevel="0" collapsed="false">
      <c r="D863" s="13"/>
    </row>
    <row r="864" customFormat="false" ht="15.75" hidden="false" customHeight="true" outlineLevel="0" collapsed="false">
      <c r="D864" s="13"/>
    </row>
    <row r="865" customFormat="false" ht="15.75" hidden="false" customHeight="true" outlineLevel="0" collapsed="false">
      <c r="D865" s="13"/>
    </row>
    <row r="866" customFormat="false" ht="15.75" hidden="false" customHeight="true" outlineLevel="0" collapsed="false">
      <c r="D866" s="13"/>
    </row>
    <row r="867" customFormat="false" ht="15.75" hidden="false" customHeight="true" outlineLevel="0" collapsed="false">
      <c r="D867" s="13"/>
    </row>
    <row r="868" customFormat="false" ht="15.75" hidden="false" customHeight="true" outlineLevel="0" collapsed="false">
      <c r="D868" s="13"/>
    </row>
    <row r="869" customFormat="false" ht="15.75" hidden="false" customHeight="true" outlineLevel="0" collapsed="false">
      <c r="D869" s="13"/>
    </row>
    <row r="870" customFormat="false" ht="15.75" hidden="false" customHeight="true" outlineLevel="0" collapsed="false">
      <c r="D870" s="13"/>
    </row>
    <row r="871" customFormat="false" ht="15.75" hidden="false" customHeight="true" outlineLevel="0" collapsed="false">
      <c r="D871" s="13"/>
    </row>
    <row r="872" customFormat="false" ht="15.75" hidden="false" customHeight="true" outlineLevel="0" collapsed="false">
      <c r="D872" s="13"/>
    </row>
    <row r="873" customFormat="false" ht="15.75" hidden="false" customHeight="true" outlineLevel="0" collapsed="false">
      <c r="D873" s="13"/>
    </row>
    <row r="874" customFormat="false" ht="15.75" hidden="false" customHeight="true" outlineLevel="0" collapsed="false">
      <c r="D874" s="13"/>
    </row>
    <row r="875" customFormat="false" ht="15.75" hidden="false" customHeight="true" outlineLevel="0" collapsed="false">
      <c r="D875" s="13"/>
    </row>
    <row r="876" customFormat="false" ht="15.75" hidden="false" customHeight="true" outlineLevel="0" collapsed="false">
      <c r="D876" s="13"/>
    </row>
    <row r="877" customFormat="false" ht="15.75" hidden="false" customHeight="true" outlineLevel="0" collapsed="false">
      <c r="D877" s="13"/>
    </row>
    <row r="878" customFormat="false" ht="15.75" hidden="false" customHeight="true" outlineLevel="0" collapsed="false">
      <c r="D878" s="13"/>
    </row>
    <row r="879" customFormat="false" ht="15.75" hidden="false" customHeight="true" outlineLevel="0" collapsed="false">
      <c r="D879" s="13"/>
    </row>
    <row r="880" customFormat="false" ht="15.75" hidden="false" customHeight="true" outlineLevel="0" collapsed="false">
      <c r="D880" s="13"/>
    </row>
    <row r="881" customFormat="false" ht="15.75" hidden="false" customHeight="true" outlineLevel="0" collapsed="false">
      <c r="D881" s="13"/>
    </row>
    <row r="882" customFormat="false" ht="15.75" hidden="false" customHeight="true" outlineLevel="0" collapsed="false">
      <c r="D882" s="13"/>
    </row>
    <row r="883" customFormat="false" ht="15.75" hidden="false" customHeight="true" outlineLevel="0" collapsed="false">
      <c r="D883" s="13"/>
    </row>
    <row r="884" customFormat="false" ht="15.75" hidden="false" customHeight="true" outlineLevel="0" collapsed="false">
      <c r="D884" s="13"/>
    </row>
    <row r="885" customFormat="false" ht="15.75" hidden="false" customHeight="true" outlineLevel="0" collapsed="false">
      <c r="D885" s="13"/>
    </row>
    <row r="886" customFormat="false" ht="15.75" hidden="false" customHeight="true" outlineLevel="0" collapsed="false">
      <c r="D886" s="13"/>
    </row>
    <row r="887" customFormat="false" ht="15.75" hidden="false" customHeight="true" outlineLevel="0" collapsed="false">
      <c r="D887" s="13"/>
    </row>
    <row r="888" customFormat="false" ht="15.75" hidden="false" customHeight="true" outlineLevel="0" collapsed="false">
      <c r="D888" s="13"/>
    </row>
    <row r="889" customFormat="false" ht="15.75" hidden="false" customHeight="true" outlineLevel="0" collapsed="false">
      <c r="D889" s="13"/>
    </row>
    <row r="890" customFormat="false" ht="15.75" hidden="false" customHeight="true" outlineLevel="0" collapsed="false">
      <c r="D890" s="13"/>
    </row>
    <row r="891" customFormat="false" ht="15.75" hidden="false" customHeight="true" outlineLevel="0" collapsed="false">
      <c r="D891" s="13"/>
    </row>
    <row r="892" customFormat="false" ht="15.75" hidden="false" customHeight="true" outlineLevel="0" collapsed="false">
      <c r="D892" s="13"/>
    </row>
    <row r="893" customFormat="false" ht="15.75" hidden="false" customHeight="true" outlineLevel="0" collapsed="false">
      <c r="D893" s="13"/>
    </row>
    <row r="894" customFormat="false" ht="15.75" hidden="false" customHeight="true" outlineLevel="0" collapsed="false">
      <c r="D894" s="13"/>
    </row>
    <row r="895" customFormat="false" ht="15.75" hidden="false" customHeight="true" outlineLevel="0" collapsed="false">
      <c r="D895" s="13"/>
    </row>
    <row r="896" customFormat="false" ht="15.75" hidden="false" customHeight="true" outlineLevel="0" collapsed="false">
      <c r="D896" s="13"/>
    </row>
    <row r="897" customFormat="false" ht="15.75" hidden="false" customHeight="true" outlineLevel="0" collapsed="false">
      <c r="D897" s="13"/>
    </row>
    <row r="898" customFormat="false" ht="15.75" hidden="false" customHeight="true" outlineLevel="0" collapsed="false">
      <c r="D898" s="13"/>
    </row>
    <row r="899" customFormat="false" ht="15.75" hidden="false" customHeight="true" outlineLevel="0" collapsed="false">
      <c r="D899" s="13"/>
    </row>
    <row r="900" customFormat="false" ht="15.75" hidden="false" customHeight="true" outlineLevel="0" collapsed="false">
      <c r="D900" s="13"/>
    </row>
    <row r="901" customFormat="false" ht="15.75" hidden="false" customHeight="true" outlineLevel="0" collapsed="false">
      <c r="D901" s="13"/>
    </row>
    <row r="902" customFormat="false" ht="15.75" hidden="false" customHeight="true" outlineLevel="0" collapsed="false">
      <c r="D902" s="13"/>
    </row>
    <row r="903" customFormat="false" ht="15.75" hidden="false" customHeight="true" outlineLevel="0" collapsed="false">
      <c r="D903" s="13"/>
    </row>
    <row r="904" customFormat="false" ht="15.75" hidden="false" customHeight="true" outlineLevel="0" collapsed="false">
      <c r="D904" s="13"/>
    </row>
    <row r="905" customFormat="false" ht="15.75" hidden="false" customHeight="true" outlineLevel="0" collapsed="false">
      <c r="D905" s="13"/>
    </row>
    <row r="906" customFormat="false" ht="15.75" hidden="false" customHeight="true" outlineLevel="0" collapsed="false">
      <c r="D906" s="13"/>
    </row>
    <row r="907" customFormat="false" ht="15.75" hidden="false" customHeight="true" outlineLevel="0" collapsed="false">
      <c r="D907" s="13"/>
    </row>
    <row r="908" customFormat="false" ht="15.75" hidden="false" customHeight="true" outlineLevel="0" collapsed="false">
      <c r="D908" s="13"/>
    </row>
    <row r="909" customFormat="false" ht="15.75" hidden="false" customHeight="true" outlineLevel="0" collapsed="false">
      <c r="D909" s="13"/>
    </row>
    <row r="910" customFormat="false" ht="15.75" hidden="false" customHeight="true" outlineLevel="0" collapsed="false">
      <c r="D910" s="13"/>
    </row>
    <row r="911" customFormat="false" ht="15.75" hidden="false" customHeight="true" outlineLevel="0" collapsed="false">
      <c r="D911" s="13"/>
    </row>
    <row r="912" customFormat="false" ht="15.75" hidden="false" customHeight="true" outlineLevel="0" collapsed="false">
      <c r="D912" s="13"/>
    </row>
    <row r="913" customFormat="false" ht="15.75" hidden="false" customHeight="true" outlineLevel="0" collapsed="false">
      <c r="D913" s="13"/>
    </row>
    <row r="914" customFormat="false" ht="15.75" hidden="false" customHeight="true" outlineLevel="0" collapsed="false">
      <c r="D914" s="13"/>
    </row>
    <row r="915" customFormat="false" ht="15.75" hidden="false" customHeight="true" outlineLevel="0" collapsed="false">
      <c r="D915" s="13"/>
    </row>
    <row r="916" customFormat="false" ht="15.75" hidden="false" customHeight="true" outlineLevel="0" collapsed="false">
      <c r="D916" s="13"/>
    </row>
    <row r="917" customFormat="false" ht="15.75" hidden="false" customHeight="true" outlineLevel="0" collapsed="false">
      <c r="D917" s="13"/>
    </row>
    <row r="918" customFormat="false" ht="15.75" hidden="false" customHeight="true" outlineLevel="0" collapsed="false">
      <c r="D918" s="13"/>
    </row>
    <row r="919" customFormat="false" ht="15.75" hidden="false" customHeight="true" outlineLevel="0" collapsed="false">
      <c r="D919" s="13"/>
    </row>
    <row r="920" customFormat="false" ht="15.75" hidden="false" customHeight="true" outlineLevel="0" collapsed="false">
      <c r="D920" s="13"/>
    </row>
    <row r="921" customFormat="false" ht="15.75" hidden="false" customHeight="true" outlineLevel="0" collapsed="false">
      <c r="D921" s="13"/>
    </row>
    <row r="922" customFormat="false" ht="15.75" hidden="false" customHeight="true" outlineLevel="0" collapsed="false">
      <c r="D922" s="13"/>
    </row>
    <row r="923" customFormat="false" ht="15.75" hidden="false" customHeight="true" outlineLevel="0" collapsed="false">
      <c r="D923" s="13"/>
    </row>
    <row r="924" customFormat="false" ht="15.75" hidden="false" customHeight="true" outlineLevel="0" collapsed="false">
      <c r="D924" s="13"/>
    </row>
    <row r="925" customFormat="false" ht="15.75" hidden="false" customHeight="true" outlineLevel="0" collapsed="false">
      <c r="D925" s="13"/>
    </row>
    <row r="926" customFormat="false" ht="15.75" hidden="false" customHeight="true" outlineLevel="0" collapsed="false">
      <c r="D926" s="13"/>
    </row>
    <row r="927" customFormat="false" ht="15.75" hidden="false" customHeight="true" outlineLevel="0" collapsed="false">
      <c r="D927" s="13"/>
    </row>
    <row r="928" customFormat="false" ht="15.75" hidden="false" customHeight="true" outlineLevel="0" collapsed="false">
      <c r="D928" s="13"/>
    </row>
    <row r="929" customFormat="false" ht="15.75" hidden="false" customHeight="true" outlineLevel="0" collapsed="false">
      <c r="D929" s="13"/>
    </row>
    <row r="930" customFormat="false" ht="15.75" hidden="false" customHeight="true" outlineLevel="0" collapsed="false">
      <c r="D930" s="13"/>
    </row>
    <row r="931" customFormat="false" ht="15.75" hidden="false" customHeight="true" outlineLevel="0" collapsed="false">
      <c r="D931" s="13"/>
    </row>
    <row r="932" customFormat="false" ht="15.75" hidden="false" customHeight="true" outlineLevel="0" collapsed="false">
      <c r="D932" s="13"/>
    </row>
    <row r="933" customFormat="false" ht="15.75" hidden="false" customHeight="true" outlineLevel="0" collapsed="false">
      <c r="D933" s="13"/>
    </row>
    <row r="934" customFormat="false" ht="15.75" hidden="false" customHeight="true" outlineLevel="0" collapsed="false">
      <c r="D934" s="13"/>
    </row>
    <row r="935" customFormat="false" ht="15.75" hidden="false" customHeight="true" outlineLevel="0" collapsed="false">
      <c r="D935" s="13"/>
    </row>
    <row r="936" customFormat="false" ht="15.75" hidden="false" customHeight="true" outlineLevel="0" collapsed="false">
      <c r="D936" s="13"/>
    </row>
    <row r="937" customFormat="false" ht="15.75" hidden="false" customHeight="true" outlineLevel="0" collapsed="false">
      <c r="D937" s="13"/>
    </row>
    <row r="938" customFormat="false" ht="15.75" hidden="false" customHeight="true" outlineLevel="0" collapsed="false">
      <c r="D938" s="13"/>
    </row>
    <row r="939" customFormat="false" ht="15.75" hidden="false" customHeight="true" outlineLevel="0" collapsed="false">
      <c r="D939" s="13"/>
    </row>
    <row r="940" customFormat="false" ht="15.75" hidden="false" customHeight="true" outlineLevel="0" collapsed="false">
      <c r="D940" s="13"/>
    </row>
    <row r="941" customFormat="false" ht="15.75" hidden="false" customHeight="true" outlineLevel="0" collapsed="false">
      <c r="D941" s="13"/>
    </row>
    <row r="942" customFormat="false" ht="15.75" hidden="false" customHeight="true" outlineLevel="0" collapsed="false">
      <c r="D942" s="13"/>
    </row>
    <row r="943" customFormat="false" ht="15.75" hidden="false" customHeight="true" outlineLevel="0" collapsed="false">
      <c r="D943" s="13"/>
    </row>
    <row r="944" customFormat="false" ht="15.75" hidden="false" customHeight="true" outlineLevel="0" collapsed="false">
      <c r="D944" s="13"/>
    </row>
    <row r="945" customFormat="false" ht="15.75" hidden="false" customHeight="true" outlineLevel="0" collapsed="false">
      <c r="D945" s="13"/>
    </row>
    <row r="946" customFormat="false" ht="15.75" hidden="false" customHeight="true" outlineLevel="0" collapsed="false">
      <c r="D946" s="13"/>
    </row>
    <row r="947" customFormat="false" ht="15.75" hidden="false" customHeight="true" outlineLevel="0" collapsed="false">
      <c r="D947" s="13"/>
    </row>
    <row r="948" customFormat="false" ht="15.75" hidden="false" customHeight="true" outlineLevel="0" collapsed="false">
      <c r="D948" s="13"/>
    </row>
    <row r="949" customFormat="false" ht="15.75" hidden="false" customHeight="true" outlineLevel="0" collapsed="false">
      <c r="D949" s="13"/>
    </row>
    <row r="950" customFormat="false" ht="15.75" hidden="false" customHeight="true" outlineLevel="0" collapsed="false">
      <c r="D950" s="13"/>
    </row>
    <row r="951" customFormat="false" ht="15.75" hidden="false" customHeight="true" outlineLevel="0" collapsed="false">
      <c r="D951" s="13"/>
    </row>
    <row r="952" customFormat="false" ht="15.75" hidden="false" customHeight="true" outlineLevel="0" collapsed="false">
      <c r="D952" s="13"/>
    </row>
    <row r="953" customFormat="false" ht="15.75" hidden="false" customHeight="true" outlineLevel="0" collapsed="false">
      <c r="D953" s="13"/>
    </row>
    <row r="954" customFormat="false" ht="15.75" hidden="false" customHeight="true" outlineLevel="0" collapsed="false">
      <c r="D954" s="13"/>
    </row>
    <row r="955" customFormat="false" ht="15.75" hidden="false" customHeight="true" outlineLevel="0" collapsed="false">
      <c r="D955" s="13"/>
    </row>
    <row r="956" customFormat="false" ht="15.75" hidden="false" customHeight="true" outlineLevel="0" collapsed="false">
      <c r="D956" s="13"/>
    </row>
    <row r="957" customFormat="false" ht="15.75" hidden="false" customHeight="true" outlineLevel="0" collapsed="false">
      <c r="D957" s="13"/>
    </row>
    <row r="958" customFormat="false" ht="15.75" hidden="false" customHeight="true" outlineLevel="0" collapsed="false">
      <c r="D958" s="13"/>
    </row>
    <row r="959" customFormat="false" ht="15.75" hidden="false" customHeight="true" outlineLevel="0" collapsed="false">
      <c r="D959" s="13"/>
    </row>
    <row r="960" customFormat="false" ht="15.75" hidden="false" customHeight="true" outlineLevel="0" collapsed="false">
      <c r="D960" s="13"/>
    </row>
    <row r="961" customFormat="false" ht="15.75" hidden="false" customHeight="true" outlineLevel="0" collapsed="false">
      <c r="D961" s="13"/>
    </row>
    <row r="962" customFormat="false" ht="15.75" hidden="false" customHeight="true" outlineLevel="0" collapsed="false">
      <c r="D962" s="13"/>
    </row>
    <row r="963" customFormat="false" ht="15.75" hidden="false" customHeight="true" outlineLevel="0" collapsed="false">
      <c r="D963" s="13"/>
    </row>
    <row r="964" customFormat="false" ht="15.75" hidden="false" customHeight="true" outlineLevel="0" collapsed="false">
      <c r="D964" s="13"/>
    </row>
    <row r="965" customFormat="false" ht="15.75" hidden="false" customHeight="true" outlineLevel="0" collapsed="false">
      <c r="D965" s="13"/>
    </row>
    <row r="966" customFormat="false" ht="15.75" hidden="false" customHeight="true" outlineLevel="0" collapsed="false">
      <c r="D966" s="13"/>
    </row>
    <row r="967" customFormat="false" ht="15.75" hidden="false" customHeight="true" outlineLevel="0" collapsed="false">
      <c r="D967" s="13"/>
    </row>
    <row r="968" customFormat="false" ht="15.75" hidden="false" customHeight="true" outlineLevel="0" collapsed="false">
      <c r="D968" s="13"/>
    </row>
    <row r="969" customFormat="false" ht="15.75" hidden="false" customHeight="true" outlineLevel="0" collapsed="false">
      <c r="D969" s="13"/>
    </row>
    <row r="970" customFormat="false" ht="15.75" hidden="false" customHeight="true" outlineLevel="0" collapsed="false">
      <c r="D970" s="13"/>
    </row>
    <row r="971" customFormat="false" ht="15.75" hidden="false" customHeight="true" outlineLevel="0" collapsed="false">
      <c r="D971" s="13"/>
    </row>
    <row r="972" customFormat="false" ht="15.75" hidden="false" customHeight="true" outlineLevel="0" collapsed="false">
      <c r="D972" s="13"/>
    </row>
    <row r="973" customFormat="false" ht="15.75" hidden="false" customHeight="true" outlineLevel="0" collapsed="false">
      <c r="D973" s="13"/>
    </row>
    <row r="974" customFormat="false" ht="15.75" hidden="false" customHeight="true" outlineLevel="0" collapsed="false">
      <c r="D974" s="13"/>
    </row>
    <row r="975" customFormat="false" ht="15.75" hidden="false" customHeight="true" outlineLevel="0" collapsed="false">
      <c r="D975" s="13"/>
    </row>
    <row r="976" customFormat="false" ht="15.75" hidden="false" customHeight="true" outlineLevel="0" collapsed="false">
      <c r="D976" s="13"/>
    </row>
    <row r="977" customFormat="false" ht="15.75" hidden="false" customHeight="true" outlineLevel="0" collapsed="false">
      <c r="D977" s="13"/>
    </row>
    <row r="978" customFormat="false" ht="15.75" hidden="false" customHeight="true" outlineLevel="0" collapsed="false">
      <c r="D978" s="13"/>
    </row>
    <row r="979" customFormat="false" ht="15.75" hidden="false" customHeight="true" outlineLevel="0" collapsed="false">
      <c r="D979" s="13"/>
    </row>
    <row r="980" customFormat="false" ht="15.75" hidden="false" customHeight="true" outlineLevel="0" collapsed="false">
      <c r="D980" s="13"/>
    </row>
    <row r="981" customFormat="false" ht="15.75" hidden="false" customHeight="true" outlineLevel="0" collapsed="false">
      <c r="D981" s="13"/>
    </row>
    <row r="982" customFormat="false" ht="15.75" hidden="false" customHeight="true" outlineLevel="0" collapsed="false">
      <c r="D982" s="13"/>
    </row>
    <row r="983" customFormat="false" ht="15.75" hidden="false" customHeight="true" outlineLevel="0" collapsed="false">
      <c r="D983" s="13"/>
    </row>
    <row r="984" customFormat="false" ht="15.75" hidden="false" customHeight="true" outlineLevel="0" collapsed="false">
      <c r="D984" s="13"/>
    </row>
    <row r="985" customFormat="false" ht="15.75" hidden="false" customHeight="true" outlineLevel="0" collapsed="false">
      <c r="D985" s="13"/>
    </row>
    <row r="986" customFormat="false" ht="15.75" hidden="false" customHeight="true" outlineLevel="0" collapsed="false">
      <c r="D986" s="13"/>
    </row>
    <row r="987" customFormat="false" ht="15.75" hidden="false" customHeight="true" outlineLevel="0" collapsed="false">
      <c r="D987" s="13"/>
    </row>
    <row r="988" customFormat="false" ht="15.75" hidden="false" customHeight="true" outlineLevel="0" collapsed="false">
      <c r="D988" s="13"/>
    </row>
    <row r="989" customFormat="false" ht="15.75" hidden="false" customHeight="true" outlineLevel="0" collapsed="false">
      <c r="D989" s="13"/>
    </row>
    <row r="990" customFormat="false" ht="15.75" hidden="false" customHeight="true" outlineLevel="0" collapsed="false">
      <c r="D990" s="13"/>
    </row>
    <row r="991" customFormat="false" ht="15.75" hidden="false" customHeight="true" outlineLevel="0" collapsed="false">
      <c r="D991" s="13"/>
    </row>
    <row r="992" customFormat="false" ht="15.75" hidden="false" customHeight="true" outlineLevel="0" collapsed="false">
      <c r="D992" s="13"/>
    </row>
    <row r="993" customFormat="false" ht="15.75" hidden="false" customHeight="true" outlineLevel="0" collapsed="false">
      <c r="D993" s="13"/>
    </row>
    <row r="994" customFormat="false" ht="15.75" hidden="false" customHeight="true" outlineLevel="0" collapsed="false">
      <c r="D994" s="13"/>
    </row>
    <row r="995" customFormat="false" ht="15.75" hidden="false" customHeight="true" outlineLevel="0" collapsed="false">
      <c r="D995" s="13"/>
    </row>
    <row r="996" customFormat="false" ht="15.75" hidden="false" customHeight="true" outlineLevel="0" collapsed="false">
      <c r="D996" s="13"/>
    </row>
    <row r="997" customFormat="false" ht="15.75" hidden="false" customHeight="true" outlineLevel="0" collapsed="false">
      <c r="D997" s="13"/>
    </row>
    <row r="998" customFormat="false" ht="15.75" hidden="false" customHeight="true" outlineLevel="0" collapsed="false">
      <c r="D998" s="13"/>
    </row>
    <row r="999" customFormat="false" ht="15.75" hidden="false" customHeight="true" outlineLevel="0" collapsed="false">
      <c r="D999" s="13"/>
    </row>
    <row r="1000" customFormat="false" ht="15.75" hidden="false" customHeight="true" outlineLevel="0" collapsed="false">
      <c r="D1000" s="13"/>
    </row>
  </sheetData>
  <autoFilter ref="A1:A51"/>
  <mergeCells count="1">
    <mergeCell ref="Q17:T1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598"/>
    <pageSetUpPr fitToPage="false"/>
  </sheetPr>
  <dimension ref="A1:L1000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1" width="31"/>
    <col collapsed="false" customWidth="true" hidden="false" outlineLevel="0" max="2" min="2" style="1" width="11.56"/>
    <col collapsed="false" customWidth="true" hidden="false" outlineLevel="0" max="3" min="3" style="1" width="10.33"/>
    <col collapsed="false" customWidth="true" hidden="false" outlineLevel="0" max="26" min="4" style="1" width="8.67"/>
  </cols>
  <sheetData>
    <row r="1" customFormat="false" ht="15" hidden="false" customHeight="false" outlineLevel="0" collapsed="false">
      <c r="A1" s="90"/>
      <c r="B1" s="90" t="s">
        <v>194</v>
      </c>
      <c r="C1" s="90" t="s">
        <v>233</v>
      </c>
      <c r="D1" s="90" t="s">
        <v>234</v>
      </c>
      <c r="E1" s="90" t="s">
        <v>235</v>
      </c>
    </row>
    <row r="2" customFormat="false" ht="15" hidden="false" customHeight="false" outlineLevel="0" collapsed="false">
      <c r="A2" s="17" t="s">
        <v>236</v>
      </c>
      <c r="B2" s="17" t="n">
        <v>33.93</v>
      </c>
      <c r="C2" s="17" t="n">
        <v>4.68</v>
      </c>
      <c r="D2" s="17" t="n">
        <v>1.24</v>
      </c>
      <c r="E2" s="17" t="n">
        <v>1.09</v>
      </c>
      <c r="I2" s="91" t="s">
        <v>237</v>
      </c>
      <c r="J2" s="4" t="n">
        <v>1200</v>
      </c>
      <c r="K2" s="92" t="s">
        <v>238</v>
      </c>
      <c r="L2" s="92" t="s">
        <v>239</v>
      </c>
    </row>
    <row r="3" customFormat="false" ht="15" hidden="false" customHeight="false" outlineLevel="0" collapsed="false">
      <c r="A3" s="17" t="s">
        <v>240</v>
      </c>
      <c r="B3" s="17" t="n">
        <v>40</v>
      </c>
      <c r="C3" s="17" t="n">
        <v>10</v>
      </c>
      <c r="D3" s="17" t="n">
        <v>0</v>
      </c>
      <c r="E3" s="17" t="n">
        <v>0</v>
      </c>
      <c r="I3" s="91" t="s">
        <v>150</v>
      </c>
      <c r="J3" s="4" t="n">
        <v>45</v>
      </c>
      <c r="K3" s="93" t="n">
        <f aca="false">(J2*15/100)/4</f>
        <v>45</v>
      </c>
      <c r="L3" s="93" t="n">
        <f aca="false">(J2*20/100)/4</f>
        <v>60</v>
      </c>
    </row>
    <row r="4" customFormat="false" ht="15" hidden="false" customHeight="false" outlineLevel="0" collapsed="false">
      <c r="A4" s="17" t="s">
        <v>241</v>
      </c>
      <c r="B4" s="17" t="n">
        <v>70</v>
      </c>
      <c r="C4" s="17" t="n">
        <v>1.5</v>
      </c>
      <c r="D4" s="17" t="n">
        <v>16</v>
      </c>
      <c r="E4" s="17" t="n">
        <v>0</v>
      </c>
      <c r="J4" s="13"/>
    </row>
    <row r="5" customFormat="false" ht="15" hidden="false" customHeight="false" outlineLevel="0" collapsed="false">
      <c r="A5" s="17" t="s">
        <v>242</v>
      </c>
      <c r="B5" s="17" t="n">
        <v>108</v>
      </c>
      <c r="C5" s="17" t="n">
        <v>0</v>
      </c>
      <c r="D5" s="17" t="n">
        <v>0</v>
      </c>
      <c r="E5" s="17" t="n">
        <v>12</v>
      </c>
      <c r="I5" s="91" t="s">
        <v>243</v>
      </c>
      <c r="J5" s="4" t="n">
        <v>60</v>
      </c>
    </row>
    <row r="8" customFormat="false" ht="15" hidden="false" customHeight="false" outlineLevel="0" collapsed="false">
      <c r="A8" s="78" t="s">
        <v>244</v>
      </c>
      <c r="B8" s="78" t="s">
        <v>245</v>
      </c>
      <c r="C8" s="78" t="s">
        <v>246</v>
      </c>
      <c r="D8" s="78" t="s">
        <v>150</v>
      </c>
      <c r="E8" s="78" t="s">
        <v>247</v>
      </c>
      <c r="F8" s="94" t="s">
        <v>130</v>
      </c>
      <c r="G8" s="94" t="s">
        <v>248</v>
      </c>
      <c r="H8" s="95" t="s">
        <v>249</v>
      </c>
      <c r="I8" s="95" t="s">
        <v>157</v>
      </c>
      <c r="J8" s="95" t="s">
        <v>250</v>
      </c>
    </row>
    <row r="9" customFormat="false" ht="15" hidden="false" customHeight="false" outlineLevel="0" collapsed="false">
      <c r="A9" s="48" t="s">
        <v>251</v>
      </c>
      <c r="B9" s="96" t="n">
        <f aca="false">((J2-(E13*9))/B2)*85/100</f>
        <v>28.7091069849691</v>
      </c>
      <c r="C9" s="97" t="n">
        <f aca="false">B9*C2</f>
        <v>134.358620689655</v>
      </c>
      <c r="D9" s="97" t="n">
        <f aca="false">B9*D2</f>
        <v>35.5992926613616</v>
      </c>
      <c r="E9" s="97" t="n">
        <f aca="false">B9*E2</f>
        <v>31.2929266136163</v>
      </c>
      <c r="F9" s="98" t="n">
        <f aca="false">B14/J5</f>
        <v>20.0911332154436</v>
      </c>
      <c r="G9" s="98" t="n">
        <f aca="false">D12/J5</f>
        <v>0.859988211022694</v>
      </c>
      <c r="H9" s="99" t="n">
        <f aca="false">(C12*4)*100/J2</f>
        <v>55.2862068965517</v>
      </c>
      <c r="I9" s="99" t="n">
        <f aca="false">(D12*4)*100/J2</f>
        <v>17.1997642204539</v>
      </c>
      <c r="J9" s="99" t="n">
        <f aca="false">(E12*9)*100/J2</f>
        <v>27.9696949602122</v>
      </c>
    </row>
    <row r="10" customFormat="false" ht="15" hidden="false" customHeight="false" outlineLevel="0" collapsed="false">
      <c r="A10" s="48" t="s">
        <v>252</v>
      </c>
      <c r="B10" s="100" t="n">
        <v>3</v>
      </c>
      <c r="C10" s="97" t="n">
        <f aca="false">B10*C3</f>
        <v>30</v>
      </c>
      <c r="D10" s="97"/>
      <c r="E10" s="97"/>
      <c r="F10" s="8"/>
      <c r="G10" s="8"/>
    </row>
    <row r="11" customFormat="false" ht="19.5" hidden="false" customHeight="true" outlineLevel="0" collapsed="false">
      <c r="A11" s="48" t="s">
        <v>253</v>
      </c>
      <c r="B11" s="100" t="n">
        <v>1</v>
      </c>
      <c r="C11" s="97" t="n">
        <f aca="false">B11*C4</f>
        <v>1.5</v>
      </c>
      <c r="D11" s="96" t="n">
        <f aca="false">B11*D4</f>
        <v>16</v>
      </c>
      <c r="E11" s="48" t="n">
        <v>0</v>
      </c>
    </row>
    <row r="12" customFormat="false" ht="15" hidden="false" customHeight="false" outlineLevel="0" collapsed="false">
      <c r="A12" s="48"/>
      <c r="B12" s="101" t="n">
        <f aca="false">(D12*4)+((C11+C9)*4)+E12*9</f>
        <v>1085.46799292661</v>
      </c>
      <c r="C12" s="97" t="n">
        <f aca="false">C9+C11+C10</f>
        <v>165.858620689655</v>
      </c>
      <c r="D12" s="97" t="n">
        <f aca="false">D9+D11</f>
        <v>51.5992926613616</v>
      </c>
      <c r="E12" s="97" t="n">
        <f aca="false">E9+E11+E13</f>
        <v>37.2929266136163</v>
      </c>
    </row>
    <row r="13" customFormat="false" ht="15" hidden="false" customHeight="false" outlineLevel="0" collapsed="false">
      <c r="A13" s="48" t="s">
        <v>254</v>
      </c>
      <c r="B13" s="102" t="n">
        <v>0.5</v>
      </c>
      <c r="C13" s="97"/>
      <c r="D13" s="97"/>
      <c r="E13" s="97" t="n">
        <f aca="false">B13*E5</f>
        <v>6</v>
      </c>
    </row>
    <row r="14" customFormat="false" ht="15" hidden="false" customHeight="false" outlineLevel="0" collapsed="false">
      <c r="A14" s="103" t="s">
        <v>255</v>
      </c>
      <c r="B14" s="104" t="n">
        <f aca="false">B12+B10*B3</f>
        <v>1205.46799292661</v>
      </c>
      <c r="C14" s="97"/>
      <c r="D14" s="97"/>
      <c r="E14" s="97"/>
    </row>
    <row r="15" customFormat="false" ht="15" hidden="false" customHeight="false" outlineLevel="0" collapsed="false">
      <c r="A15" s="48" t="s">
        <v>256</v>
      </c>
      <c r="B15" s="96" t="n">
        <f aca="false">28.5*B9+100+(B10*100)</f>
        <v>1218.20954907162</v>
      </c>
      <c r="C15" s="48"/>
      <c r="D15" s="48"/>
      <c r="E15" s="48"/>
    </row>
    <row r="16" customFormat="false" ht="15" hidden="false" customHeight="false" outlineLevel="0" collapsed="false">
      <c r="A16" s="48" t="s">
        <v>257</v>
      </c>
      <c r="B16" s="96" t="n">
        <f aca="false">B15/4</f>
        <v>304.552387267905</v>
      </c>
      <c r="C16" s="48"/>
      <c r="D16" s="48"/>
      <c r="E16" s="48"/>
    </row>
    <row r="17" customFormat="false" ht="15" hidden="false" customHeight="false" outlineLevel="0" collapsed="false">
      <c r="A17" s="48" t="s">
        <v>258</v>
      </c>
      <c r="B17" s="96" t="n">
        <f aca="false">(B9*7.8/800)*31</f>
        <v>8.6773275862069</v>
      </c>
      <c r="C17" s="48"/>
      <c r="D17" s="48"/>
      <c r="E17" s="48"/>
    </row>
    <row r="18" customFormat="false" ht="15" hidden="false" customHeight="false" outlineLevel="0" collapsed="false">
      <c r="A18" s="48" t="s">
        <v>259</v>
      </c>
      <c r="B18" s="96" t="n">
        <f aca="false">((B10*10)/500)*31</f>
        <v>1.86</v>
      </c>
      <c r="C18" s="48"/>
      <c r="D18" s="48"/>
      <c r="E18" s="48"/>
    </row>
    <row r="19" customFormat="false" ht="15" hidden="false" customHeight="false" outlineLevel="0" collapsed="false">
      <c r="A19" s="48" t="s">
        <v>260</v>
      </c>
      <c r="B19" s="96" t="n">
        <f aca="false">((B11*20)/500)*31</f>
        <v>1.24</v>
      </c>
      <c r="C19" s="48"/>
      <c r="D19" s="48"/>
      <c r="E19" s="48"/>
    </row>
    <row r="20" customFormat="false" ht="15" hidden="false" customHeight="false" outlineLevel="0" collapsed="false">
      <c r="A20" s="48" t="s">
        <v>261</v>
      </c>
      <c r="B20" s="105" t="n">
        <f aca="false">(B13*10/900)*31</f>
        <v>0.172222222222222</v>
      </c>
      <c r="C20" s="48"/>
      <c r="D20" s="48"/>
      <c r="E20" s="48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>
      <c r="A23" s="106" t="s">
        <v>262</v>
      </c>
      <c r="B23" s="107" t="s">
        <v>263</v>
      </c>
      <c r="C23" s="107"/>
    </row>
    <row r="24" customFormat="false" ht="15.75" hidden="false" customHeight="true" outlineLevel="0" collapsed="false">
      <c r="A24" s="48" t="s">
        <v>264</v>
      </c>
      <c r="B24" s="108" t="n">
        <f aca="false">B9/4</f>
        <v>7.17727674624226</v>
      </c>
      <c r="C24" s="109" t="s">
        <v>265</v>
      </c>
    </row>
    <row r="25" customFormat="false" ht="15.75" hidden="false" customHeight="true" outlineLevel="0" collapsed="false">
      <c r="A25" s="48" t="s">
        <v>266</v>
      </c>
      <c r="B25" s="108" t="n">
        <f aca="false">B10/4</f>
        <v>0.75</v>
      </c>
      <c r="C25" s="109" t="s">
        <v>265</v>
      </c>
    </row>
    <row r="26" customFormat="false" ht="15.75" hidden="false" customHeight="true" outlineLevel="0" collapsed="false">
      <c r="A26" s="48" t="s">
        <v>267</v>
      </c>
      <c r="B26" s="108" t="n">
        <f aca="false">B11/4</f>
        <v>0.25</v>
      </c>
      <c r="C26" s="109" t="s">
        <v>268</v>
      </c>
    </row>
    <row r="27" customFormat="false" ht="15.75" hidden="false" customHeight="true" outlineLevel="0" collapsed="false">
      <c r="A27" s="48" t="s">
        <v>269</v>
      </c>
      <c r="B27" s="108" t="n">
        <f aca="false">13/4</f>
        <v>3.25</v>
      </c>
      <c r="C27" s="109" t="s">
        <v>270</v>
      </c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B23:C2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C2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customHeight="true" zeroHeight="false" outlineLevelRow="0" outlineLevelCol="0"/>
  <cols>
    <col collapsed="false" customWidth="true" hidden="false" outlineLevel="0" max="2" min="1" style="1" width="8.67"/>
    <col collapsed="false" customWidth="true" hidden="false" outlineLevel="0" max="3" min="3" style="1" width="11.89"/>
    <col collapsed="false" customWidth="true" hidden="false" outlineLevel="0" max="4" min="4" style="1" width="16.33"/>
    <col collapsed="false" customWidth="true" hidden="false" outlineLevel="0" max="6" min="5" style="1" width="8.67"/>
    <col collapsed="false" customWidth="true" hidden="false" outlineLevel="0" max="7" min="7" style="1" width="18.88"/>
    <col collapsed="false" customWidth="true" hidden="false" outlineLevel="0" max="26" min="8" style="1" width="8.67"/>
  </cols>
  <sheetData>
    <row r="2" customFormat="false" ht="15" hidden="false" customHeight="false" outlineLevel="0" collapsed="false">
      <c r="D2" s="110" t="s">
        <v>271</v>
      </c>
      <c r="E2" s="110"/>
      <c r="G2" s="17" t="s">
        <v>243</v>
      </c>
      <c r="H2" s="4" t="n">
        <v>70</v>
      </c>
    </row>
    <row r="3" customFormat="false" ht="15" hidden="false" customHeight="false" outlineLevel="0" collapsed="false">
      <c r="G3" s="58" t="s">
        <v>272</v>
      </c>
      <c r="H3" s="13" t="n">
        <v>1500</v>
      </c>
    </row>
    <row r="4" customFormat="false" ht="15" hidden="false" customHeight="false" outlineLevel="0" collapsed="false">
      <c r="D4" s="90" t="s">
        <v>273</v>
      </c>
    </row>
    <row r="5" customFormat="false" ht="15" hidden="false" customHeight="false" outlineLevel="0" collapsed="false">
      <c r="C5" s="111" t="s">
        <v>274</v>
      </c>
      <c r="D5" s="81" t="n">
        <f aca="false">H2*25</f>
        <v>1750</v>
      </c>
      <c r="G5" s="112" t="s">
        <v>275</v>
      </c>
      <c r="H5" s="112" t="n">
        <v>70</v>
      </c>
    </row>
    <row r="6" customFormat="false" ht="15" hidden="false" customHeight="false" outlineLevel="0" collapsed="false">
      <c r="C6" s="111" t="s">
        <v>276</v>
      </c>
      <c r="D6" s="81" t="n">
        <f aca="false">H2*30</f>
        <v>2100</v>
      </c>
      <c r="G6" s="112" t="s">
        <v>277</v>
      </c>
      <c r="H6" s="112" t="n">
        <v>75</v>
      </c>
    </row>
    <row r="7" customFormat="false" ht="15" hidden="false" customHeight="false" outlineLevel="0" collapsed="false">
      <c r="G7" s="112" t="s">
        <v>278</v>
      </c>
      <c r="H7" s="112" t="n">
        <v>80</v>
      </c>
    </row>
    <row r="8" customFormat="false" ht="15" hidden="false" customHeight="false" outlineLevel="0" collapsed="false">
      <c r="G8" s="112" t="s">
        <v>279</v>
      </c>
      <c r="H8" s="112" t="n">
        <v>85</v>
      </c>
    </row>
    <row r="9" customFormat="false" ht="15" hidden="false" customHeight="false" outlineLevel="0" collapsed="false">
      <c r="C9" s="113" t="s">
        <v>280</v>
      </c>
      <c r="D9" s="113"/>
    </row>
    <row r="10" customFormat="false" ht="15" hidden="false" customHeight="false" outlineLevel="0" collapsed="false">
      <c r="C10" s="43" t="s">
        <v>275</v>
      </c>
      <c r="D10" s="114" t="n">
        <f aca="false">H3*H5/100</f>
        <v>1050</v>
      </c>
    </row>
    <row r="11" customFormat="false" ht="15" hidden="false" customHeight="false" outlineLevel="0" collapsed="false">
      <c r="C11" s="43" t="s">
        <v>277</v>
      </c>
      <c r="D11" s="114" t="n">
        <f aca="false">H3*H6/100</f>
        <v>1125</v>
      </c>
    </row>
    <row r="12" customFormat="false" ht="15" hidden="false" customHeight="false" outlineLevel="0" collapsed="false">
      <c r="C12" s="43" t="s">
        <v>278</v>
      </c>
      <c r="D12" s="114" t="n">
        <f aca="false">H3*H7/100</f>
        <v>1200</v>
      </c>
    </row>
    <row r="13" customFormat="false" ht="15" hidden="false" customHeight="false" outlineLevel="0" collapsed="false">
      <c r="C13" s="43" t="s">
        <v>279</v>
      </c>
      <c r="D13" s="114" t="n">
        <f aca="false">H3*H8/100</f>
        <v>1275</v>
      </c>
    </row>
    <row r="15" customFormat="false" ht="15" hidden="false" customHeight="false" outlineLevel="0" collapsed="false">
      <c r="C15" s="115" t="s">
        <v>281</v>
      </c>
      <c r="D15" s="115"/>
      <c r="E15" s="13" t="s">
        <v>282</v>
      </c>
    </row>
    <row r="16" customFormat="false" ht="15" hidden="false" customHeight="false" outlineLevel="0" collapsed="false">
      <c r="D16" s="111" t="s">
        <v>274</v>
      </c>
      <c r="E16" s="111" t="s">
        <v>276</v>
      </c>
      <c r="F16" s="116" t="s">
        <v>283</v>
      </c>
      <c r="G16" s="117" t="s">
        <v>284</v>
      </c>
      <c r="H16" s="117" t="s">
        <v>285</v>
      </c>
      <c r="I16" s="117" t="s">
        <v>286</v>
      </c>
    </row>
    <row r="17" customFormat="false" ht="15" hidden="false" customHeight="false" outlineLevel="0" collapsed="false">
      <c r="C17" s="118" t="s">
        <v>275</v>
      </c>
      <c r="D17" s="119" t="n">
        <f aca="false">D5-D10</f>
        <v>700</v>
      </c>
      <c r="E17" s="119" t="n">
        <f aca="false">D6-D10</f>
        <v>1050</v>
      </c>
      <c r="F17" s="120" t="n">
        <f aca="false">E17/4</f>
        <v>262.5</v>
      </c>
      <c r="G17" s="121" t="n">
        <f aca="false">E17/5</f>
        <v>210</v>
      </c>
      <c r="H17" s="122" t="n">
        <f aca="false">E17/6</f>
        <v>175</v>
      </c>
      <c r="I17" s="122" t="n">
        <f aca="false">E17/8</f>
        <v>131.25</v>
      </c>
    </row>
    <row r="18" customFormat="false" ht="15" hidden="false" customHeight="false" outlineLevel="0" collapsed="false">
      <c r="C18" s="118" t="s">
        <v>277</v>
      </c>
      <c r="D18" s="119" t="n">
        <f aca="false">D5-D11</f>
        <v>625</v>
      </c>
      <c r="E18" s="119" t="n">
        <f aca="false">D6-D11</f>
        <v>975</v>
      </c>
      <c r="F18" s="123" t="n">
        <f aca="false">E18/4</f>
        <v>243.75</v>
      </c>
      <c r="G18" s="121" t="n">
        <f aca="false">E18/5</f>
        <v>195</v>
      </c>
      <c r="H18" s="122" t="n">
        <f aca="false">E18/6</f>
        <v>162.5</v>
      </c>
      <c r="I18" s="122" t="n">
        <f aca="false">E18/8</f>
        <v>121.875</v>
      </c>
    </row>
    <row r="19" customFormat="false" ht="15" hidden="false" customHeight="false" outlineLevel="0" collapsed="false">
      <c r="C19" s="118" t="s">
        <v>278</v>
      </c>
      <c r="D19" s="119" t="n">
        <f aca="false">D5-D12</f>
        <v>550</v>
      </c>
      <c r="E19" s="119" t="n">
        <f aca="false">D6-D12</f>
        <v>900</v>
      </c>
      <c r="F19" s="123" t="n">
        <f aca="false">E19/4</f>
        <v>225</v>
      </c>
      <c r="G19" s="121" t="n">
        <f aca="false">E19/5</f>
        <v>180</v>
      </c>
      <c r="H19" s="122" t="n">
        <f aca="false">E19/6</f>
        <v>150</v>
      </c>
      <c r="I19" s="122" t="n">
        <f aca="false">E19/8</f>
        <v>112.5</v>
      </c>
    </row>
    <row r="20" customFormat="false" ht="15" hidden="false" customHeight="false" outlineLevel="0" collapsed="false">
      <c r="C20" s="118" t="s">
        <v>279</v>
      </c>
      <c r="D20" s="119" t="n">
        <f aca="false">D5-D13</f>
        <v>475</v>
      </c>
      <c r="E20" s="119" t="n">
        <f aca="false">D6-D13</f>
        <v>825</v>
      </c>
      <c r="F20" s="123" t="n">
        <f aca="false">E20/4</f>
        <v>206.25</v>
      </c>
      <c r="G20" s="121" t="n">
        <f aca="false">E20/5</f>
        <v>165</v>
      </c>
      <c r="H20" s="122" t="n">
        <f aca="false">E20/6</f>
        <v>137.5</v>
      </c>
      <c r="I20" s="122" t="n">
        <f aca="false">E20/8</f>
        <v>103.125</v>
      </c>
    </row>
    <row r="21" customFormat="false" ht="15.75" hidden="false" customHeight="true" outlineLevel="0" collapsed="false">
      <c r="C21" s="118" t="s">
        <v>287</v>
      </c>
      <c r="D21" s="124" t="n">
        <f aca="false">D5-Hidratação!B15</f>
        <v>1750</v>
      </c>
      <c r="E21" s="124" t="n">
        <f aca="false">D6-Hidratação!B15</f>
        <v>2100</v>
      </c>
      <c r="F21" s="123" t="n">
        <f aca="false">E21/4</f>
        <v>525</v>
      </c>
      <c r="G21" s="121" t="n">
        <f aca="false">E21/5</f>
        <v>420</v>
      </c>
      <c r="H21" s="122" t="n">
        <f aca="false">E21/6</f>
        <v>350</v>
      </c>
      <c r="I21" s="122" t="n">
        <f aca="false">E21/8</f>
        <v>262.5</v>
      </c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C9:D9"/>
    <mergeCell ref="C15:D15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DA9"/>
    <pageSetUpPr fitToPage="false"/>
  </sheetPr>
  <dimension ref="A1:J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.67"/>
    <col collapsed="false" customWidth="true" hidden="false" outlineLevel="0" max="3" min="3" style="1" width="11.56"/>
    <col collapsed="false" customWidth="true" hidden="false" outlineLevel="0" max="8" min="4" style="1" width="8.67"/>
    <col collapsed="false" customWidth="true" hidden="false" outlineLevel="0" max="9" min="9" style="1" width="20.88"/>
    <col collapsed="false" customWidth="true" hidden="false" outlineLevel="0" max="10" min="10" style="1" width="12.67"/>
    <col collapsed="false" customWidth="true" hidden="false" outlineLevel="0" max="26" min="11" style="1" width="8.67"/>
  </cols>
  <sheetData>
    <row r="1" customFormat="false" ht="15" hidden="false" customHeight="false" outlineLevel="0" collapsed="false">
      <c r="B1" s="18" t="s">
        <v>288</v>
      </c>
      <c r="C1" s="18"/>
      <c r="D1" s="13" t="s">
        <v>289</v>
      </c>
      <c r="I1" s="18" t="s">
        <v>288</v>
      </c>
    </row>
    <row r="2" customFormat="false" ht="15" hidden="false" customHeight="false" outlineLevel="0" collapsed="false">
      <c r="A2" s="18" t="s">
        <v>290</v>
      </c>
      <c r="B2" s="74" t="s">
        <v>151</v>
      </c>
      <c r="C2" s="74" t="s">
        <v>291</v>
      </c>
      <c r="J2" s="74" t="s">
        <v>151</v>
      </c>
    </row>
    <row r="3" customFormat="false" ht="15" hidden="false" customHeight="false" outlineLevel="0" collapsed="false">
      <c r="A3" s="62" t="s">
        <v>292</v>
      </c>
      <c r="B3" s="4" t="n">
        <v>32</v>
      </c>
      <c r="C3" s="125" t="n">
        <f aca="false">B3*32/B6/60</f>
        <v>0.262564102564103</v>
      </c>
      <c r="D3" s="13" t="s">
        <v>293</v>
      </c>
      <c r="I3" s="13" t="s">
        <v>294</v>
      </c>
      <c r="J3" s="4" t="n">
        <v>15</v>
      </c>
    </row>
    <row r="4" customFormat="false" ht="15" hidden="false" customHeight="false" outlineLevel="0" collapsed="false">
      <c r="A4" s="62" t="s">
        <v>295</v>
      </c>
      <c r="B4" s="4" t="n">
        <v>35</v>
      </c>
      <c r="C4" s="125" t="n">
        <f aca="false">B4*64/B6/60</f>
        <v>0.574358974358974</v>
      </c>
      <c r="D4" s="13" t="s">
        <v>296</v>
      </c>
      <c r="I4" s="13" t="s">
        <v>297</v>
      </c>
      <c r="J4" s="4" t="n">
        <v>2</v>
      </c>
    </row>
    <row r="5" customFormat="false" ht="15" hidden="false" customHeight="false" outlineLevel="0" collapsed="false">
      <c r="B5" s="13"/>
      <c r="I5" s="13" t="s">
        <v>298</v>
      </c>
      <c r="J5" s="4" t="n">
        <v>100</v>
      </c>
    </row>
    <row r="6" customFormat="false" ht="15" hidden="false" customHeight="false" outlineLevel="0" collapsed="false">
      <c r="A6" s="62" t="s">
        <v>299</v>
      </c>
      <c r="B6" s="4" t="n">
        <v>65</v>
      </c>
      <c r="I6" s="74" t="s">
        <v>291</v>
      </c>
      <c r="J6" s="126" t="n">
        <f aca="false">J4*4/J5/60/B6*J3*1000</f>
        <v>0.307692307692308</v>
      </c>
    </row>
    <row r="10" customFormat="false" ht="15" hidden="false" customHeight="false" outlineLevel="0" collapsed="false">
      <c r="B10" s="18" t="s">
        <v>300</v>
      </c>
      <c r="C10" s="18"/>
    </row>
    <row r="11" customFormat="false" ht="15" hidden="false" customHeight="false" outlineLevel="0" collapsed="false">
      <c r="A11" s="13" t="s">
        <v>301</v>
      </c>
      <c r="B11" s="4" t="n">
        <v>95</v>
      </c>
      <c r="C11" s="8" t="n">
        <f aca="false">B11/6.25</f>
        <v>15.2</v>
      </c>
    </row>
    <row r="12" customFormat="false" ht="15" hidden="false" customHeight="false" outlineLevel="0" collapsed="false">
      <c r="A12" s="13" t="s">
        <v>302</v>
      </c>
      <c r="B12" s="4" t="n">
        <v>40</v>
      </c>
      <c r="C12" s="8" t="n">
        <f aca="false">B12/2.14+4</f>
        <v>22.6915887850467</v>
      </c>
    </row>
    <row r="13" customFormat="false" ht="15" hidden="false" customHeight="false" outlineLevel="0" collapsed="false">
      <c r="A13" s="78" t="s">
        <v>303</v>
      </c>
      <c r="B13" s="125" t="n">
        <f aca="false">C11-C12</f>
        <v>-7.49158878504673</v>
      </c>
    </row>
    <row r="16" customFormat="false" ht="15" hidden="false" customHeight="false" outlineLevel="0" collapsed="false">
      <c r="B16" s="46" t="s">
        <v>304</v>
      </c>
      <c r="C16" s="46"/>
    </row>
    <row r="17" customFormat="false" ht="15" hidden="false" customHeight="false" outlineLevel="0" collapsed="false">
      <c r="A17" s="13" t="s">
        <v>151</v>
      </c>
      <c r="B17" s="4" t="n">
        <v>15</v>
      </c>
    </row>
    <row r="18" customFormat="false" ht="15" hidden="false" customHeight="false" outlineLevel="0" collapsed="false">
      <c r="A18" s="78" t="s">
        <v>305</v>
      </c>
      <c r="B18" s="78" t="n">
        <f aca="false">B17*24*1.1</f>
        <v>396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B16:C1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598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1" width="31.11"/>
    <col collapsed="false" customWidth="true" hidden="false" outlineLevel="0" max="12" min="2" style="1" width="9.11"/>
    <col collapsed="false" customWidth="true" hidden="false" outlineLevel="0" max="13" min="13" style="1" width="13.56"/>
    <col collapsed="false" customWidth="true" hidden="false" outlineLevel="0" max="16" min="14" style="1" width="9.11"/>
    <col collapsed="false" customWidth="true" hidden="false" outlineLevel="0" max="26" min="17" style="1" width="8.67"/>
  </cols>
  <sheetData>
    <row r="1" customFormat="false" ht="14.25" hidden="false" customHeight="true" outlineLevel="0" collapsed="false">
      <c r="A1" s="127" t="s">
        <v>306</v>
      </c>
      <c r="B1" s="128" t="s">
        <v>307</v>
      </c>
      <c r="C1" s="128" t="s">
        <v>153</v>
      </c>
      <c r="D1" s="128" t="s">
        <v>150</v>
      </c>
      <c r="E1" s="128" t="s">
        <v>246</v>
      </c>
      <c r="F1" s="128" t="s">
        <v>308</v>
      </c>
      <c r="G1" s="128" t="s">
        <v>309</v>
      </c>
      <c r="H1" s="128" t="s">
        <v>310</v>
      </c>
      <c r="I1" s="128" t="s">
        <v>311</v>
      </c>
      <c r="J1" s="128" t="s">
        <v>312</v>
      </c>
      <c r="K1" s="128" t="s">
        <v>313</v>
      </c>
      <c r="L1" s="128" t="s">
        <v>314</v>
      </c>
      <c r="M1" s="128" t="s">
        <v>315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customFormat="false" ht="14.25" hidden="false" customHeight="true" outlineLevel="0" collapsed="false">
      <c r="A2" s="129" t="s">
        <v>213</v>
      </c>
      <c r="B2" s="129" t="n">
        <v>200</v>
      </c>
      <c r="C2" s="129" t="n">
        <v>200</v>
      </c>
      <c r="D2" s="129" t="n">
        <v>8.8</v>
      </c>
      <c r="E2" s="129" t="n">
        <v>20</v>
      </c>
      <c r="F2" s="129" t="n">
        <v>0.4</v>
      </c>
      <c r="G2" s="129" t="n">
        <v>9.4</v>
      </c>
      <c r="H2" s="129" t="n">
        <v>134</v>
      </c>
      <c r="I2" s="129" t="n">
        <v>272</v>
      </c>
      <c r="J2" s="129" t="n">
        <v>142</v>
      </c>
      <c r="K2" s="129" t="n">
        <v>2.2</v>
      </c>
      <c r="L2" s="129" t="n">
        <v>3</v>
      </c>
      <c r="M2" s="129" t="s">
        <v>316</v>
      </c>
      <c r="N2" s="13" t="s">
        <v>317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customFormat="false" ht="14.25" hidden="false" customHeight="true" outlineLevel="0" collapsed="false">
      <c r="A3" s="129" t="s">
        <v>318</v>
      </c>
      <c r="B3" s="129" t="n">
        <v>200</v>
      </c>
      <c r="C3" s="129" t="n">
        <v>300</v>
      </c>
      <c r="D3" s="129" t="n">
        <v>12</v>
      </c>
      <c r="E3" s="129" t="n">
        <v>40</v>
      </c>
      <c r="F3" s="129" t="n">
        <v>13</v>
      </c>
      <c r="G3" s="129" t="n">
        <v>10.4</v>
      </c>
      <c r="H3" s="129" t="n">
        <v>298</v>
      </c>
      <c r="I3" s="129" t="n">
        <v>454</v>
      </c>
      <c r="J3" s="129" t="s">
        <v>316</v>
      </c>
      <c r="K3" s="129" t="n">
        <v>2.6</v>
      </c>
      <c r="L3" s="129" t="n">
        <v>0</v>
      </c>
      <c r="M3" s="129" t="s">
        <v>316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customFormat="false" ht="14.25" hidden="false" customHeight="true" outlineLevel="0" collapsed="false">
      <c r="A4" s="129" t="s">
        <v>319</v>
      </c>
      <c r="B4" s="129" t="n">
        <v>200</v>
      </c>
      <c r="C4" s="129" t="n">
        <v>400</v>
      </c>
      <c r="D4" s="130" t="n">
        <v>20</v>
      </c>
      <c r="E4" s="130" t="n">
        <v>44</v>
      </c>
      <c r="F4" s="130" t="n">
        <v>7</v>
      </c>
      <c r="G4" s="130" t="n">
        <v>15.6</v>
      </c>
      <c r="H4" s="130" t="n">
        <v>120</v>
      </c>
      <c r="I4" s="130" t="n">
        <v>320</v>
      </c>
      <c r="J4" s="130" t="n">
        <v>240</v>
      </c>
      <c r="K4" s="129" t="n">
        <v>5</v>
      </c>
      <c r="L4" s="129" t="n">
        <v>0</v>
      </c>
      <c r="M4" s="130" t="n">
        <v>495</v>
      </c>
      <c r="N4" s="13" t="s">
        <v>320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29" t="s">
        <v>321</v>
      </c>
      <c r="B5" s="129" t="n">
        <v>125</v>
      </c>
      <c r="C5" s="129" t="n">
        <v>400</v>
      </c>
      <c r="D5" s="129" t="n">
        <v>20</v>
      </c>
      <c r="E5" s="129" t="n">
        <v>35</v>
      </c>
      <c r="F5" s="129" t="s">
        <v>316</v>
      </c>
      <c r="G5" s="129" t="n">
        <v>20</v>
      </c>
      <c r="H5" s="129" t="n">
        <v>140</v>
      </c>
      <c r="I5" s="129" t="n">
        <v>390</v>
      </c>
      <c r="J5" s="129" t="n">
        <v>140</v>
      </c>
      <c r="K5" s="129" t="n">
        <v>6</v>
      </c>
      <c r="L5" s="129" t="n">
        <v>0.62</v>
      </c>
      <c r="M5" s="129" t="s">
        <v>316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customFormat="false" ht="14.25" hidden="false" customHeight="true" outlineLevel="0" collapsed="false">
      <c r="A6" s="129" t="s">
        <v>322</v>
      </c>
      <c r="B6" s="129" t="n">
        <v>200</v>
      </c>
      <c r="C6" s="129" t="n">
        <v>300</v>
      </c>
      <c r="D6" s="130" t="n">
        <v>11.2</v>
      </c>
      <c r="E6" s="130" t="n">
        <v>38</v>
      </c>
      <c r="F6" s="130" t="n">
        <v>11</v>
      </c>
      <c r="G6" s="130" t="n">
        <v>11.6</v>
      </c>
      <c r="H6" s="130" t="n">
        <v>160</v>
      </c>
      <c r="I6" s="130" t="n">
        <v>270</v>
      </c>
      <c r="J6" s="130" t="n">
        <v>160</v>
      </c>
      <c r="K6" s="130" t="n">
        <v>4</v>
      </c>
      <c r="L6" s="130" t="n">
        <v>0</v>
      </c>
      <c r="M6" s="130" t="n">
        <v>390</v>
      </c>
      <c r="N6" s="13"/>
      <c r="O6" s="13"/>
      <c r="P6" s="13" t="s">
        <v>323</v>
      </c>
      <c r="Q6" s="13"/>
      <c r="R6" s="13"/>
      <c r="S6" s="13"/>
      <c r="T6" s="13"/>
      <c r="U6" s="13"/>
      <c r="V6" s="13"/>
      <c r="W6" s="13"/>
      <c r="X6" s="13"/>
      <c r="Y6" s="13"/>
      <c r="Z6" s="13"/>
    </row>
    <row r="7" customFormat="false" ht="14.25" hidden="false" customHeight="true" outlineLevel="0" collapsed="false">
      <c r="A7" s="129" t="s">
        <v>324</v>
      </c>
      <c r="B7" s="129" t="n">
        <v>200</v>
      </c>
      <c r="C7" s="129" t="n">
        <v>300</v>
      </c>
      <c r="D7" s="130" t="n">
        <v>8</v>
      </c>
      <c r="E7" s="130" t="n">
        <v>67</v>
      </c>
      <c r="F7" s="130"/>
      <c r="G7" s="130" t="n">
        <v>0</v>
      </c>
      <c r="H7" s="130" t="n">
        <v>12</v>
      </c>
      <c r="I7" s="130" t="n">
        <v>14</v>
      </c>
      <c r="J7" s="130"/>
      <c r="K7" s="129"/>
      <c r="L7" s="129"/>
      <c r="M7" s="130" t="n">
        <v>680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customFormat="false" ht="14.25" hidden="false" customHeight="true" outlineLevel="0" collapsed="false">
      <c r="A8" s="129" t="s">
        <v>325</v>
      </c>
      <c r="B8" s="129" t="n">
        <v>200</v>
      </c>
      <c r="C8" s="129" t="n">
        <v>300</v>
      </c>
      <c r="D8" s="130" t="n">
        <v>20</v>
      </c>
      <c r="E8" s="130" t="n">
        <v>24</v>
      </c>
      <c r="F8" s="130" t="n">
        <v>14.6</v>
      </c>
      <c r="G8" s="130" t="n">
        <v>13.4</v>
      </c>
      <c r="H8" s="130" t="n">
        <v>116</v>
      </c>
      <c r="I8" s="130" t="n">
        <v>292</v>
      </c>
      <c r="J8" s="130" t="n">
        <v>240</v>
      </c>
      <c r="K8" s="130" t="n">
        <v>5</v>
      </c>
      <c r="L8" s="130" t="n">
        <v>0</v>
      </c>
      <c r="M8" s="130" t="n">
        <v>440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customFormat="false" ht="14.25" hidden="false" customHeight="true" outlineLevel="0" collapsed="false">
      <c r="A9" s="129" t="s">
        <v>326</v>
      </c>
      <c r="B9" s="129" t="n">
        <v>200</v>
      </c>
      <c r="C9" s="129" t="n">
        <v>306</v>
      </c>
      <c r="D9" s="130" t="n">
        <v>15</v>
      </c>
      <c r="E9" s="130" t="n">
        <v>26</v>
      </c>
      <c r="F9" s="130" t="n">
        <v>12.2</v>
      </c>
      <c r="G9" s="130" t="n">
        <v>15</v>
      </c>
      <c r="H9" s="130" t="n">
        <v>240</v>
      </c>
      <c r="I9" s="130" t="n">
        <v>330</v>
      </c>
      <c r="J9" s="130" t="n">
        <v>200</v>
      </c>
      <c r="K9" s="129" t="n">
        <v>1.7</v>
      </c>
      <c r="L9" s="129" t="n">
        <v>3.4</v>
      </c>
      <c r="M9" s="130" t="n">
        <v>614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customFormat="false" ht="14.25" hidden="false" customHeight="true" outlineLevel="0" collapsed="false">
      <c r="A10" s="129" t="s">
        <v>327</v>
      </c>
      <c r="B10" s="129" t="n">
        <v>200</v>
      </c>
      <c r="C10" s="129" t="n">
        <v>214</v>
      </c>
      <c r="D10" s="130" t="n">
        <v>13</v>
      </c>
      <c r="E10" s="130" t="n">
        <v>14</v>
      </c>
      <c r="F10" s="130" t="n">
        <v>0</v>
      </c>
      <c r="G10" s="130" t="n">
        <v>5.6</v>
      </c>
      <c r="H10" s="130" t="n">
        <v>120</v>
      </c>
      <c r="I10" s="130" t="n">
        <v>420</v>
      </c>
      <c r="J10" s="130" t="n">
        <v>170</v>
      </c>
      <c r="K10" s="129" t="n">
        <v>2.6</v>
      </c>
      <c r="L10" s="129" t="n">
        <v>0</v>
      </c>
      <c r="M10" s="130" t="n">
        <v>297</v>
      </c>
      <c r="N10" s="13" t="s">
        <v>328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customFormat="false" ht="14.25" hidden="false" customHeight="true" outlineLevel="0" collapsed="false">
      <c r="A11" s="129" t="s">
        <v>329</v>
      </c>
      <c r="B11" s="129" t="n">
        <v>20</v>
      </c>
      <c r="C11" s="129" t="n">
        <v>69.3</v>
      </c>
      <c r="D11" s="129" t="n">
        <v>17.33</v>
      </c>
      <c r="E11" s="129" t="n">
        <v>0</v>
      </c>
      <c r="F11" s="129"/>
      <c r="G11" s="129"/>
      <c r="H11" s="129"/>
      <c r="I11" s="129"/>
      <c r="J11" s="129"/>
      <c r="K11" s="129"/>
      <c r="L11" s="129"/>
      <c r="M11" s="129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customFormat="false" ht="14.25" hidden="false" customHeight="true" outlineLevel="0" collapsed="false">
      <c r="A12" s="129" t="s">
        <v>216</v>
      </c>
      <c r="B12" s="129" t="n">
        <v>200</v>
      </c>
      <c r="C12" s="129" t="n">
        <v>274</v>
      </c>
      <c r="D12" s="129" t="n">
        <v>20</v>
      </c>
      <c r="E12" s="129" t="n">
        <v>32</v>
      </c>
      <c r="F12" s="129" t="n">
        <v>3</v>
      </c>
      <c r="G12" s="129" t="n">
        <v>7.4</v>
      </c>
      <c r="H12" s="129" t="n">
        <v>200</v>
      </c>
      <c r="I12" s="129" t="n">
        <v>310</v>
      </c>
      <c r="J12" s="129" t="n">
        <v>190</v>
      </c>
      <c r="K12" s="129" t="n">
        <v>3.2</v>
      </c>
      <c r="L12" s="129" t="n">
        <v>1</v>
      </c>
      <c r="M12" s="129" t="s">
        <v>316</v>
      </c>
      <c r="N12" s="13" t="s">
        <v>330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customFormat="false" ht="16.5" hidden="false" customHeight="true" outlineLevel="0" collapsed="false">
      <c r="A13" s="129" t="s">
        <v>214</v>
      </c>
      <c r="B13" s="129" t="n">
        <v>200</v>
      </c>
      <c r="C13" s="129" t="n">
        <v>400</v>
      </c>
      <c r="D13" s="130" t="n">
        <v>14.8</v>
      </c>
      <c r="E13" s="130" t="n">
        <v>40</v>
      </c>
      <c r="F13" s="130" t="n">
        <v>11.8</v>
      </c>
      <c r="G13" s="130" t="n">
        <v>20</v>
      </c>
      <c r="H13" s="130" t="n">
        <v>280</v>
      </c>
      <c r="I13" s="130" t="n">
        <v>300</v>
      </c>
      <c r="J13" s="130" t="n">
        <v>190</v>
      </c>
      <c r="K13" s="129" t="n">
        <v>4</v>
      </c>
      <c r="L13" s="129" t="n">
        <v>0</v>
      </c>
      <c r="M13" s="130" t="n">
        <v>740</v>
      </c>
      <c r="N13" s="13" t="s">
        <v>331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customFormat="false" ht="14.25" hidden="false" customHeight="true" outlineLevel="0" collapsed="false">
      <c r="A14" s="129" t="s">
        <v>332</v>
      </c>
      <c r="B14" s="129" t="n">
        <v>27.5</v>
      </c>
      <c r="C14" s="129" t="n">
        <v>116.05</v>
      </c>
      <c r="D14" s="129" t="n">
        <v>9.9</v>
      </c>
      <c r="E14" s="129" t="n">
        <v>9.9</v>
      </c>
      <c r="F14" s="129" t="s">
        <v>316</v>
      </c>
      <c r="G14" s="129" t="n">
        <v>4.12</v>
      </c>
      <c r="H14" s="129" t="n">
        <v>50</v>
      </c>
      <c r="I14" s="129" t="n">
        <v>137.5</v>
      </c>
      <c r="J14" s="129" t="n">
        <v>110</v>
      </c>
      <c r="K14" s="129" t="n">
        <v>1.95</v>
      </c>
      <c r="L14" s="129" t="n">
        <v>1.1</v>
      </c>
      <c r="M14" s="129" t="s">
        <v>316</v>
      </c>
      <c r="N14" s="13" t="s">
        <v>333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customFormat="false" ht="15" hidden="false" customHeight="true" outlineLevel="0" collapsed="false">
      <c r="A15" s="129" t="s">
        <v>334</v>
      </c>
      <c r="B15" s="129" t="n">
        <v>200</v>
      </c>
      <c r="C15" s="129" t="n">
        <v>198</v>
      </c>
      <c r="D15" s="129" t="n">
        <v>16</v>
      </c>
      <c r="E15" s="129" t="n">
        <v>19</v>
      </c>
      <c r="F15" s="129" t="n">
        <v>1.2</v>
      </c>
      <c r="G15" s="129" t="n">
        <v>6.4</v>
      </c>
      <c r="H15" s="129" t="n">
        <v>154</v>
      </c>
      <c r="I15" s="129" t="s">
        <v>316</v>
      </c>
      <c r="J15" s="129" t="s">
        <v>316</v>
      </c>
      <c r="K15" s="129" t="s">
        <v>316</v>
      </c>
      <c r="L15" s="129" t="n">
        <v>0</v>
      </c>
      <c r="M15" s="129" t="s">
        <v>316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customFormat="false" ht="14.25" hidden="false" customHeight="true" outlineLevel="0" collapsed="false">
      <c r="A16" s="129" t="s">
        <v>335</v>
      </c>
      <c r="B16" s="129" t="n">
        <v>200</v>
      </c>
      <c r="C16" s="129" t="n">
        <v>308</v>
      </c>
      <c r="D16" s="129" t="n">
        <v>11.2</v>
      </c>
      <c r="E16" s="129" t="n">
        <v>44</v>
      </c>
      <c r="F16" s="129" t="n">
        <v>16</v>
      </c>
      <c r="G16" s="129" t="n">
        <v>9.6</v>
      </c>
      <c r="H16" s="129" t="n">
        <v>140</v>
      </c>
      <c r="I16" s="129" t="n">
        <v>160</v>
      </c>
      <c r="J16" s="129" t="n">
        <v>170</v>
      </c>
      <c r="K16" s="129" t="n">
        <v>4.4</v>
      </c>
      <c r="L16" s="129" t="n">
        <v>0</v>
      </c>
      <c r="M16" s="129" t="s">
        <v>316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customFormat="false" ht="14.25" hidden="false" customHeight="true" outlineLevel="0" collapsed="false">
      <c r="A17" s="129" t="s">
        <v>336</v>
      </c>
      <c r="B17" s="129" t="n">
        <v>200</v>
      </c>
      <c r="C17" s="129" t="n">
        <v>296</v>
      </c>
      <c r="D17" s="129" t="n">
        <v>20</v>
      </c>
      <c r="E17" s="129" t="n">
        <v>22</v>
      </c>
      <c r="F17" s="129" t="n">
        <v>17.8</v>
      </c>
      <c r="G17" s="129" t="n">
        <v>14.4</v>
      </c>
      <c r="H17" s="129" t="n">
        <v>224</v>
      </c>
      <c r="I17" s="129" t="n">
        <v>394</v>
      </c>
      <c r="J17" s="129" t="n">
        <v>288</v>
      </c>
      <c r="K17" s="129" t="n">
        <v>3.6</v>
      </c>
      <c r="L17" s="129" t="n">
        <v>0</v>
      </c>
      <c r="M17" s="129" t="s">
        <v>316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customFormat="false" ht="14.25" hidden="false" customHeight="true" outlineLevel="0" collapsed="false">
      <c r="A18" s="129" t="s">
        <v>337</v>
      </c>
      <c r="B18" s="129" t="n">
        <v>200</v>
      </c>
      <c r="C18" s="129" t="n">
        <v>400</v>
      </c>
      <c r="D18" s="129" t="n">
        <v>17.2</v>
      </c>
      <c r="E18" s="129" t="n">
        <v>12</v>
      </c>
      <c r="F18" s="129" t="n">
        <v>12</v>
      </c>
      <c r="G18" s="129" t="n">
        <v>19.2</v>
      </c>
      <c r="H18" s="129" t="s">
        <v>316</v>
      </c>
      <c r="I18" s="129" t="n">
        <v>460</v>
      </c>
      <c r="J18" s="129" t="n">
        <v>160</v>
      </c>
      <c r="K18" s="129" t="n">
        <v>6</v>
      </c>
      <c r="L18" s="129" t="n">
        <v>0</v>
      </c>
      <c r="M18" s="129" t="s">
        <v>316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customFormat="false" ht="14.25" hidden="false" customHeight="true" outlineLevel="0" collapsed="false">
      <c r="A19" s="78" t="s">
        <v>338</v>
      </c>
      <c r="B19" s="129" t="n">
        <v>200</v>
      </c>
      <c r="C19" s="129" t="n">
        <v>212</v>
      </c>
      <c r="D19" s="129" t="n">
        <v>15</v>
      </c>
      <c r="E19" s="129" t="n">
        <v>14.4</v>
      </c>
      <c r="F19" s="129" t="n">
        <v>4.6</v>
      </c>
      <c r="G19" s="129" t="n">
        <v>10</v>
      </c>
      <c r="H19" s="129" t="n">
        <v>144</v>
      </c>
      <c r="I19" s="129" t="s">
        <v>316</v>
      </c>
      <c r="J19" s="129" t="n">
        <v>170</v>
      </c>
      <c r="K19" s="129" t="n">
        <v>2.8</v>
      </c>
      <c r="L19" s="129" t="n">
        <v>0</v>
      </c>
      <c r="M19" s="129"/>
      <c r="N19" s="13" t="s">
        <v>317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customFormat="false" ht="14.25" hidden="false" customHeight="true" outlineLevel="0" collapsed="false">
      <c r="A20" s="129" t="s">
        <v>339</v>
      </c>
      <c r="B20" s="129" t="n">
        <v>30</v>
      </c>
      <c r="C20" s="129" t="n">
        <v>132</v>
      </c>
      <c r="D20" s="129" t="n">
        <v>9</v>
      </c>
      <c r="E20" s="129" t="n">
        <v>11</v>
      </c>
      <c r="F20" s="129" t="n">
        <v>0.8</v>
      </c>
      <c r="G20" s="129" t="n">
        <v>5.6</v>
      </c>
      <c r="H20" s="129" t="n">
        <v>35</v>
      </c>
      <c r="I20" s="129" t="s">
        <v>316</v>
      </c>
      <c r="J20" s="129" t="n">
        <v>111</v>
      </c>
      <c r="K20" s="129" t="n">
        <v>2.9</v>
      </c>
      <c r="L20" s="129" t="n">
        <v>0</v>
      </c>
      <c r="M20" s="129" t="s">
        <v>316</v>
      </c>
      <c r="N20" s="13" t="s">
        <v>340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customFormat="false" ht="14.25" hidden="false" customHeight="true" outlineLevel="0" collapsed="false">
      <c r="A21" s="129" t="s">
        <v>341</v>
      </c>
      <c r="B21" s="129" t="n">
        <v>200</v>
      </c>
      <c r="C21" s="129" t="n">
        <v>272</v>
      </c>
      <c r="D21" s="129" t="n">
        <v>10</v>
      </c>
      <c r="E21" s="129" t="n">
        <v>58</v>
      </c>
      <c r="F21" s="129" t="n">
        <v>16.4</v>
      </c>
      <c r="G21" s="129" t="n">
        <v>0</v>
      </c>
      <c r="H21" s="129" t="n">
        <v>90</v>
      </c>
      <c r="I21" s="129" t="s">
        <v>316</v>
      </c>
      <c r="J21" s="129" t="s">
        <v>316</v>
      </c>
      <c r="K21" s="129" t="s">
        <v>316</v>
      </c>
      <c r="L21" s="129" t="n">
        <v>0</v>
      </c>
      <c r="M21" s="129" t="s">
        <v>316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customFormat="false" ht="14.25" hidden="false" customHeight="true" outlineLevel="0" collapsed="false">
      <c r="A22" s="129" t="s">
        <v>342</v>
      </c>
      <c r="B22" s="129" t="n">
        <v>125</v>
      </c>
      <c r="C22" s="129" t="n">
        <v>278.7</v>
      </c>
      <c r="D22" s="129" t="n">
        <v>20</v>
      </c>
      <c r="E22" s="129" t="n">
        <v>18.7</v>
      </c>
      <c r="F22" s="129" t="n">
        <v>11.87</v>
      </c>
      <c r="G22" s="129" t="n">
        <v>13.75</v>
      </c>
      <c r="H22" s="129" t="n">
        <v>212.5</v>
      </c>
      <c r="I22" s="129" t="n">
        <v>277.5</v>
      </c>
      <c r="J22" s="129" t="n">
        <v>191.25</v>
      </c>
      <c r="K22" s="129" t="n">
        <v>1.87</v>
      </c>
      <c r="L22" s="129" t="n">
        <v>0</v>
      </c>
      <c r="M22" s="129" t="s">
        <v>316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customFormat="false" ht="14.25" hidden="false" customHeight="true" outlineLevel="0" collapsed="false">
      <c r="A23" s="129" t="s">
        <v>343</v>
      </c>
      <c r="B23" s="129" t="n">
        <v>200</v>
      </c>
      <c r="C23" s="129" t="n">
        <v>300</v>
      </c>
      <c r="D23" s="129" t="n">
        <v>12.8</v>
      </c>
      <c r="E23" s="129" t="n">
        <v>42</v>
      </c>
      <c r="F23" s="129" t="s">
        <v>316</v>
      </c>
      <c r="G23" s="129" t="n">
        <v>8.4</v>
      </c>
      <c r="H23" s="129" t="n">
        <v>180</v>
      </c>
      <c r="I23" s="129" t="n">
        <v>340</v>
      </c>
      <c r="J23" s="129" t="n">
        <v>140</v>
      </c>
      <c r="K23" s="129" t="n">
        <v>2.8</v>
      </c>
      <c r="L23" s="129" t="n">
        <v>0</v>
      </c>
      <c r="M23" s="129" t="s">
        <v>316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customFormat="false" ht="14.25" hidden="false" customHeight="true" outlineLevel="0" collapsed="false">
      <c r="A24" s="129" t="s">
        <v>344</v>
      </c>
      <c r="B24" s="129" t="n">
        <v>200</v>
      </c>
      <c r="C24" s="129" t="n">
        <v>300</v>
      </c>
      <c r="D24" s="129" t="n">
        <v>18.4</v>
      </c>
      <c r="E24" s="129" t="n">
        <v>17</v>
      </c>
      <c r="F24" s="129" t="s">
        <v>316</v>
      </c>
      <c r="G24" s="129" t="n">
        <v>10.4</v>
      </c>
      <c r="H24" s="129" t="n">
        <v>120</v>
      </c>
      <c r="I24" s="129" t="n">
        <v>416</v>
      </c>
      <c r="J24" s="129" t="n">
        <v>330</v>
      </c>
      <c r="K24" s="129" t="n">
        <v>3.2</v>
      </c>
      <c r="L24" s="129" t="n">
        <v>0</v>
      </c>
      <c r="M24" s="129" t="s">
        <v>316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customFormat="false" ht="14.25" hidden="false" customHeight="tru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customFormat="false" ht="14.25" hidden="false" customHeight="tru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customFormat="false" ht="14.25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customFormat="false" ht="14.25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customFormat="false" ht="14.2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customFormat="false" ht="14.25" hidden="false" customHeight="true" outlineLevel="0" collapsed="false">
      <c r="A30" s="131" t="s">
        <v>345</v>
      </c>
      <c r="B30" s="132" t="s">
        <v>268</v>
      </c>
      <c r="C30" s="132" t="s">
        <v>234</v>
      </c>
      <c r="D30" s="132" t="s">
        <v>233</v>
      </c>
      <c r="E30" s="132" t="s">
        <v>194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customFormat="false" ht="14.25" hidden="false" customHeight="true" outlineLevel="0" collapsed="false">
      <c r="A31" s="57" t="s">
        <v>193</v>
      </c>
      <c r="B31" s="133" t="n">
        <v>15</v>
      </c>
      <c r="C31" s="133" t="n">
        <v>13</v>
      </c>
      <c r="D31" s="133" t="n">
        <v>0</v>
      </c>
      <c r="E31" s="133" t="n">
        <f aca="false">C31*4</f>
        <v>52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customFormat="false" ht="14.25" hidden="false" customHeight="true" outlineLevel="0" collapsed="false">
      <c r="A32" s="57" t="s">
        <v>196</v>
      </c>
      <c r="B32" s="133" t="n">
        <v>12</v>
      </c>
      <c r="C32" s="133" t="n">
        <v>10.4</v>
      </c>
      <c r="D32" s="133" t="n">
        <v>0</v>
      </c>
      <c r="E32" s="133" t="n">
        <f aca="false">C32*4</f>
        <v>41.6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customFormat="false" ht="14.25" hidden="false" customHeight="true" outlineLevel="0" collapsed="false">
      <c r="A33" s="57" t="s">
        <v>198</v>
      </c>
      <c r="B33" s="133" t="n">
        <v>20</v>
      </c>
      <c r="C33" s="133" t="n">
        <v>6</v>
      </c>
      <c r="D33" s="133" t="n">
        <v>9.66</v>
      </c>
      <c r="E33" s="133" t="n">
        <v>62.64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customFormat="false" ht="14.25" hidden="false" customHeight="tru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customFormat="false" ht="14.25" hidden="false" customHeight="true" outlineLevel="0" collapsed="false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customFormat="false" ht="14.25" hidden="false" customHeight="tru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customFormat="false" ht="14.25" hidden="false" customHeight="tru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customFormat="false" ht="14.25" hidden="false" customHeight="tru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customFormat="false" ht="14.25" hidden="false" customHeight="true" outlineLevel="0" collapsed="false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customFormat="false" ht="14.25" hidden="false" customHeight="tru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customFormat="false" ht="14.25" hidden="false" customHeight="true" outlineLevel="0" collapsed="false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customFormat="false" ht="14.25" hidden="false" customHeight="true" outlineLevel="0" collapsed="false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customFormat="false" ht="14.25" hidden="false" customHeight="true" outlineLevel="0" collapsed="false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customFormat="false" ht="14.25" hidden="false" customHeight="tru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customFormat="false" ht="14.25" hidden="false" customHeight="true" outlineLevel="0" collapsed="false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customFormat="false" ht="14.25" hidden="false" customHeight="tru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customFormat="false" ht="14.25" hidden="false" customHeight="tru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customFormat="false" ht="14.25" hidden="false" customHeight="tru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customFormat="false" ht="14.25" hidden="false" customHeight="tru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customFormat="false" ht="14.25" hidden="false" customHeight="tru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customFormat="false" ht="14.25" hidden="false" customHeight="true" outlineLevel="0" collapsed="false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customFormat="false" ht="14.25" hidden="false" customHeight="tru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customFormat="false" ht="14.25" hidden="false" customHeight="tru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customFormat="false" ht="14.25" hidden="false" customHeight="tru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customFormat="false" ht="14.25" hidden="false" customHeight="true" outlineLevel="0" collapsed="false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customFormat="false" ht="14.25" hidden="false" customHeight="tru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customFormat="false" ht="14.25" hidden="false" customHeight="true" outlineLevel="0" collapsed="false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customFormat="false" ht="14.25" hidden="false" customHeight="true" outlineLevel="0" collapsed="false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customFormat="false" ht="14.25" hidden="false" customHeight="true" outlineLevel="0" collapsed="false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customFormat="false" ht="14.25" hidden="false" customHeight="true" outlineLevel="0" collapsed="false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customFormat="false" ht="14.25" hidden="false" customHeight="true" outlineLevel="0" collapsed="false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customFormat="false" ht="14.25" hidden="false" customHeight="true" outlineLevel="0" collapsed="false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customFormat="false" ht="14.25" hidden="false" customHeight="true" outlineLevel="0" collapsed="false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customFormat="false" ht="14.25" hidden="false" customHeight="true" outlineLevel="0" collapsed="false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customFormat="false" ht="14.25" hidden="false" customHeight="true" outlineLevel="0" collapsed="false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customFormat="false" ht="14.25" hidden="false" customHeight="true" outlineLevel="0" collapsed="false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customFormat="false" ht="14.25" hidden="false" customHeight="true" outlineLevel="0" collapsed="false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customFormat="false" ht="14.25" hidden="false" customHeight="true" outlineLevel="0" collapsed="false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customFormat="false" ht="14.25" hidden="false" customHeight="true" outlineLevel="0" collapsed="false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customFormat="false" ht="14.25" hidden="false" customHeight="true" outlineLevel="0" collapsed="false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customFormat="false" ht="14.25" hidden="false" customHeight="true" outlineLevel="0" collapsed="false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customFormat="false" ht="14.25" hidden="false" customHeight="true" outlineLevel="0" collapsed="false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customFormat="false" ht="14.25" hidden="false" customHeight="true" outlineLevel="0" collapsed="false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customFormat="false" ht="14.25" hidden="false" customHeight="true" outlineLevel="0" collapsed="false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customFormat="false" ht="14.25" hidden="false" customHeight="true" outlineLevel="0" collapsed="false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customFormat="false" ht="14.25" hidden="false" customHeight="true" outlineLevel="0" collapsed="false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customFormat="false" ht="14.25" hidden="false" customHeight="tru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customFormat="false" ht="14.25" hidden="false" customHeight="tru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customFormat="false" ht="14.25" hidden="false" customHeight="tru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customFormat="false" ht="14.25" hidden="false" customHeight="tru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customFormat="false" ht="14.25" hidden="false" customHeight="true" outlineLevel="0" collapsed="false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customFormat="false" ht="14.25" hidden="false" customHeight="tru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customFormat="false" ht="14.25" hidden="false" customHeight="true" outlineLevel="0" collapsed="false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customFormat="false" ht="14.25" hidden="false" customHeight="tru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customFormat="false" ht="14.25" hidden="false" customHeight="true" outlineLevel="0" collapsed="false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customFormat="false" ht="14.25" hidden="false" customHeight="true" outlineLevel="0" collapsed="false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customFormat="false" ht="14.25" hidden="false" customHeight="true" outlineLevel="0" collapsed="false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customFormat="false" ht="14.25" hidden="false" customHeight="true" outlineLevel="0" collapsed="false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customFormat="false" ht="14.25" hidden="false" customHeight="true" outlineLevel="0" collapsed="false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customFormat="false" ht="14.25" hidden="false" customHeight="true" outlineLevel="0" collapsed="false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customFormat="false" ht="14.25" hidden="false" customHeight="true" outlineLevel="0" collapsed="false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customFormat="false" ht="14.25" hidden="false" customHeight="true" outlineLevel="0" collapsed="false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customFormat="false" ht="14.25" hidden="false" customHeight="true" outlineLevel="0" collapsed="false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customFormat="false" ht="14.25" hidden="false" customHeight="true" outlineLevel="0" collapsed="false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customFormat="false" ht="14.25" hidden="false" customHeight="true" outlineLevel="0" collapsed="false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customFormat="false" ht="14.25" hidden="false" customHeight="true" outlineLevel="0" collapsed="false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customFormat="false" ht="14.25" hidden="false" customHeight="true" outlineLevel="0" collapsed="false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customFormat="false" ht="14.25" hidden="false" customHeight="true" outlineLevel="0" collapsed="false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customFormat="false" ht="14.25" hidden="false" customHeight="true" outlineLevel="0" collapsed="false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customFormat="false" ht="14.25" hidden="false" customHeight="true" outlineLevel="0" collapsed="false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customFormat="false" ht="14.25" hidden="false" customHeight="true" outlineLevel="0" collapsed="false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customFormat="false" ht="14.25" hidden="false" customHeight="true" outlineLevel="0" collapsed="false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customFormat="false" ht="14.25" hidden="false" customHeight="true" outlineLevel="0" collapsed="false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customFormat="false" ht="14.25" hidden="false" customHeight="true" outlineLevel="0" collapsed="false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customFormat="false" ht="14.25" hidden="false" customHeight="true" outlineLevel="0" collapsed="false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customFormat="false" ht="14.25" hidden="false" customHeight="true" outlineLevel="0" collapsed="false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customFormat="false" ht="14.25" hidden="false" customHeight="true" outlineLevel="0" collapsed="false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customFormat="false" ht="14.25" hidden="false" customHeight="true" outlineLevel="0" collapsed="false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customFormat="false" ht="14.25" hidden="false" customHeight="true" outlineLevel="0" collapsed="false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customFormat="false" ht="14.25" hidden="false" customHeight="true" outlineLevel="0" collapsed="false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customFormat="false" ht="14.25" hidden="false" customHeight="tru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customFormat="false" ht="14.25" hidden="false" customHeight="true" outlineLevel="0" collapsed="false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customFormat="false" ht="14.25" hidden="false" customHeight="tru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customFormat="false" ht="14.25" hidden="false" customHeight="tru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customFormat="false" ht="14.25" hidden="false" customHeight="tru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customFormat="false" ht="14.25" hidden="false" customHeight="tru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customFormat="false" ht="14.25" hidden="false" customHeight="tru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customFormat="false" ht="14.25" hidden="false" customHeight="tru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customFormat="false" ht="14.25" hidden="false" customHeight="tru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customFormat="false" ht="14.25" hidden="false" customHeight="tru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customFormat="false" ht="14.25" hidden="false" customHeight="tru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customFormat="false" ht="14.25" hidden="false" customHeight="tru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customFormat="false" ht="14.25" hidden="false" customHeight="tru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customFormat="false" ht="14.25" hidden="false" customHeight="tru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customFormat="false" ht="14.25" hidden="false" customHeight="tru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customFormat="false" ht="14.25" hidden="false" customHeight="tru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customFormat="false" ht="14.25" hidden="false" customHeight="tru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customFormat="false" ht="14.25" hidden="false" customHeight="tru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customFormat="false" ht="14.25" hidden="false" customHeight="tru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customFormat="false" ht="14.25" hidden="false" customHeight="tru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customFormat="false" ht="14.25" hidden="false" customHeight="tru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customFormat="false" ht="14.25" hidden="false" customHeight="tru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customFormat="false" ht="14.25" hidden="false" customHeight="tru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customFormat="false" ht="14.25" hidden="false" customHeight="tru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customFormat="false" ht="14.25" hidden="false" customHeight="tru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customFormat="false" ht="14.25" hidden="false" customHeight="tru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customFormat="false" ht="14.25" hidden="false" customHeight="tru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customFormat="false" ht="14.25" hidden="false" customHeight="tru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customFormat="false" ht="14.25" hidden="false" customHeight="tru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customFormat="false" ht="14.25" hidden="false" customHeight="tru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customFormat="false" ht="14.25" hidden="false" customHeight="tru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customFormat="false" ht="14.25" hidden="false" customHeight="tru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customFormat="false" ht="14.25" hidden="false" customHeight="tru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customFormat="false" ht="14.25" hidden="false" customHeight="tru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customFormat="false" ht="14.25" hidden="false" customHeight="tru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customFormat="false" ht="14.25" hidden="false" customHeight="tru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customFormat="false" ht="14.25" hidden="false" customHeight="tru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customFormat="false" ht="14.25" hidden="false" customHeight="tru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customFormat="false" ht="14.25" hidden="false" customHeight="tru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customFormat="false" ht="14.25" hidden="false" customHeight="tru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customFormat="false" ht="14.25" hidden="false" customHeight="tru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customFormat="false" ht="14.25" hidden="false" customHeight="tru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customFormat="false" ht="14.25" hidden="false" customHeight="tru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customFormat="false" ht="14.25" hidden="false" customHeight="tru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customFormat="false" ht="14.25" hidden="false" customHeight="tru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customFormat="false" ht="14.25" hidden="false" customHeight="tru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customFormat="false" ht="14.25" hidden="false" customHeight="tru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customFormat="false" ht="14.25" hidden="false" customHeight="tru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customFormat="false" ht="14.25" hidden="false" customHeight="tru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customFormat="false" ht="14.25" hidden="false" customHeight="tru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customFormat="false" ht="14.25" hidden="false" customHeight="tru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customFormat="false" ht="14.25" hidden="false" customHeight="tru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customFormat="false" ht="14.25" hidden="false" customHeight="tru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customFormat="false" ht="14.25" hidden="false" customHeight="tru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customFormat="false" ht="14.25" hidden="false" customHeight="tru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customFormat="false" ht="14.25" hidden="false" customHeight="tru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customFormat="false" ht="14.25" hidden="false" customHeight="tru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customFormat="false" ht="14.25" hidden="false" customHeight="tru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customFormat="false" ht="14.25" hidden="false" customHeight="tru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customFormat="false" ht="14.25" hidden="false" customHeight="tru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customFormat="false" ht="14.25" hidden="false" customHeight="tru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customFormat="false" ht="14.25" hidden="false" customHeight="tru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customFormat="false" ht="14.25" hidden="false" customHeight="tru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customFormat="false" ht="14.25" hidden="false" customHeight="tru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customFormat="false" ht="14.25" hidden="false" customHeight="tru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customFormat="false" ht="14.25" hidden="false" customHeight="tru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customFormat="false" ht="14.25" hidden="false" customHeight="tru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customFormat="false" ht="14.25" hidden="false" customHeight="tru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customFormat="false" ht="14.25" hidden="false" customHeight="tru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customFormat="false" ht="14.25" hidden="false" customHeight="tru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customFormat="false" ht="14.25" hidden="false" customHeight="tru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customFormat="false" ht="14.25" hidden="false" customHeight="tru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customFormat="false" ht="14.25" hidden="false" customHeight="tru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customFormat="false" ht="14.25" hidden="false" customHeight="tru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customFormat="false" ht="14.25" hidden="false" customHeight="tru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customFormat="false" ht="14.25" hidden="false" customHeight="tru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customFormat="false" ht="14.25" hidden="false" customHeight="tru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customFormat="false" ht="14.25" hidden="false" customHeight="tru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customFormat="false" ht="14.25" hidden="false" customHeight="tru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customFormat="false" ht="14.25" hidden="false" customHeight="tru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customFormat="false" ht="14.25" hidden="false" customHeight="tru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customFormat="false" ht="14.25" hidden="false" customHeight="tru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customFormat="false" ht="14.25" hidden="false" customHeight="tru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customFormat="false" ht="14.25" hidden="false" customHeight="tru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customFormat="false" ht="14.25" hidden="false" customHeight="tru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customFormat="false" ht="14.25" hidden="false" customHeight="tru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customFormat="false" ht="14.25" hidden="false" customHeight="tru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customFormat="false" ht="14.25" hidden="false" customHeight="tru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customFormat="false" ht="14.25" hidden="false" customHeight="tru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customFormat="false" ht="14.25" hidden="false" customHeight="tru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customFormat="false" ht="14.25" hidden="false" customHeight="true" outlineLevel="0" collapsed="false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customFormat="false" ht="14.25" hidden="false" customHeight="tru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customFormat="false" ht="14.25" hidden="false" customHeight="true" outlineLevel="0" collapsed="false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customFormat="false" ht="14.25" hidden="false" customHeight="tru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customFormat="false" ht="14.25" hidden="false" customHeight="true" outlineLevel="0" collapsed="false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customFormat="false" ht="14.25" hidden="false" customHeight="true" outlineLevel="0" collapsed="false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customFormat="false" ht="14.25" hidden="false" customHeight="true" outlineLevel="0" collapsed="false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customFormat="false" ht="14.25" hidden="false" customHeight="true" outlineLevel="0" collapsed="false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customFormat="false" ht="14.25" hidden="false" customHeight="true" outlineLevel="0" collapsed="false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customFormat="false" ht="14.25" hidden="false" customHeight="true" outlineLevel="0" collapsed="false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customFormat="false" ht="14.25" hidden="false" customHeight="true" outlineLevel="0" collapsed="false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customFormat="false" ht="14.25" hidden="false" customHeight="true" outlineLevel="0" collapsed="false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customFormat="false" ht="14.25" hidden="false" customHeight="true" outlineLevel="0" collapsed="false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customFormat="false" ht="14.25" hidden="false" customHeight="true" outlineLevel="0" collapsed="false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customFormat="false" ht="14.25" hidden="false" customHeight="true" outlineLevel="0" collapsed="false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customFormat="false" ht="14.25" hidden="false" customHeight="true" outlineLevel="0" collapsed="false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customFormat="false" ht="14.25" hidden="false" customHeight="true" outlineLevel="0" collapsed="false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customFormat="false" ht="14.25" hidden="false" customHeight="true" outlineLevel="0" collapsed="false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customFormat="false" ht="14.25" hidden="false" customHeight="true" outlineLevel="0" collapsed="false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customFormat="false" ht="14.25" hidden="false" customHeight="true" outlineLevel="0" collapsed="false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customFormat="false" ht="14.25" hidden="false" customHeight="true" outlineLevel="0" collapsed="false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customFormat="false" ht="14.25" hidden="false" customHeight="true" outlineLevel="0" collapsed="false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customFormat="false" ht="14.25" hidden="false" customHeight="true" outlineLevel="0" collapsed="false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customFormat="false" ht="14.25" hidden="false" customHeight="true" outlineLevel="0" collapsed="false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customFormat="false" ht="14.25" hidden="false" customHeight="true" outlineLevel="0" collapsed="false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customFormat="false" ht="14.25" hidden="false" customHeight="true" outlineLevel="0" collapsed="false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customFormat="false" ht="14.25" hidden="false" customHeight="true" outlineLevel="0" collapsed="false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customFormat="false" ht="14.25" hidden="false" customHeight="true" outlineLevel="0" collapsed="false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customFormat="false" ht="14.25" hidden="false" customHeight="true" outlineLevel="0" collapsed="false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customFormat="false" ht="14.25" hidden="false" customHeight="true" outlineLevel="0" collapsed="false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customFormat="false" ht="14.25" hidden="false" customHeight="true" outlineLevel="0" collapsed="false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customFormat="false" ht="14.25" hidden="false" customHeight="true" outlineLevel="0" collapsed="false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customFormat="false" ht="14.25" hidden="false" customHeight="true" outlineLevel="0" collapsed="false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customFormat="false" ht="14.25" hidden="false" customHeight="true" outlineLevel="0" collapsed="false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customFormat="false" ht="14.25" hidden="false" customHeight="true" outlineLevel="0" collapsed="false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customFormat="false" ht="14.25" hidden="false" customHeight="true" outlineLevel="0" collapsed="false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customFormat="false" ht="14.25" hidden="false" customHeight="true" outlineLevel="0" collapsed="false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customFormat="false" ht="14.25" hidden="false" customHeight="true" outlineLevel="0" collapsed="false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customFormat="false" ht="14.25" hidden="false" customHeight="true" outlineLevel="0" collapsed="false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customFormat="false" ht="14.25" hidden="false" customHeight="true" outlineLevel="0" collapsed="false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customFormat="false" ht="14.25" hidden="false" customHeight="true" outlineLevel="0" collapsed="false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customFormat="false" ht="14.25" hidden="false" customHeight="true" outlineLevel="0" collapsed="false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customFormat="false" ht="14.25" hidden="false" customHeight="true" outlineLevel="0" collapsed="false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customFormat="false" ht="14.25" hidden="false" customHeight="true" outlineLevel="0" collapsed="false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customFormat="false" ht="14.25" hidden="false" customHeight="true" outlineLevel="0" collapsed="false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customFormat="false" ht="14.25" hidden="false" customHeight="true" outlineLevel="0" collapsed="false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customFormat="false" ht="14.25" hidden="false" customHeight="true" outlineLevel="0" collapsed="false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customFormat="false" ht="14.25" hidden="false" customHeight="true" outlineLevel="0" collapsed="false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customFormat="false" ht="14.25" hidden="false" customHeight="true" outlineLevel="0" collapsed="false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customFormat="false" ht="14.25" hidden="false" customHeight="true" outlineLevel="0" collapsed="false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customFormat="false" ht="14.25" hidden="false" customHeight="true" outlineLevel="0" collapsed="false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customFormat="false" ht="14.25" hidden="false" customHeight="true" outlineLevel="0" collapsed="false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customFormat="false" ht="14.25" hidden="false" customHeight="true" outlineLevel="0" collapsed="false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customFormat="false" ht="14.25" hidden="false" customHeight="true" outlineLevel="0" collapsed="false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customFormat="false" ht="14.25" hidden="false" customHeight="true" outlineLevel="0" collapsed="false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customFormat="false" ht="14.25" hidden="false" customHeight="true" outlineLevel="0" collapsed="false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customFormat="false" ht="14.25" hidden="false" customHeight="true" outlineLevel="0" collapsed="false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customFormat="false" ht="14.25" hidden="false" customHeight="true" outlineLevel="0" collapsed="false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customFormat="false" ht="14.25" hidden="false" customHeight="true" outlineLevel="0" collapsed="false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customFormat="false" ht="14.25" hidden="false" customHeight="true" outlineLevel="0" collapsed="false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customFormat="false" ht="14.25" hidden="false" customHeight="true" outlineLevel="0" collapsed="false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customFormat="false" ht="14.25" hidden="false" customHeight="true" outlineLevel="0" collapsed="false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customFormat="false" ht="14.25" hidden="false" customHeight="true" outlineLevel="0" collapsed="false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customFormat="false" ht="14.25" hidden="false" customHeight="true" outlineLevel="0" collapsed="false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customFormat="false" ht="14.25" hidden="false" customHeight="true" outlineLevel="0" collapsed="false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customFormat="false" ht="14.25" hidden="false" customHeight="true" outlineLevel="0" collapsed="false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customFormat="false" ht="14.25" hidden="false" customHeight="true" outlineLevel="0" collapsed="false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customFormat="false" ht="14.25" hidden="false" customHeight="true" outlineLevel="0" collapsed="false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customFormat="false" ht="14.25" hidden="false" customHeight="true" outlineLevel="0" collapsed="false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customFormat="false" ht="14.25" hidden="false" customHeight="true" outlineLevel="0" collapsed="false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customFormat="false" ht="14.25" hidden="false" customHeight="true" outlineLevel="0" collapsed="false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customFormat="false" ht="14.25" hidden="false" customHeight="true" outlineLevel="0" collapsed="false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customFormat="false" ht="14.25" hidden="false" customHeight="true" outlineLevel="0" collapsed="false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customFormat="false" ht="14.25" hidden="false" customHeight="true" outlineLevel="0" collapsed="false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customFormat="false" ht="14.25" hidden="false" customHeight="true" outlineLevel="0" collapsed="false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customFormat="false" ht="14.25" hidden="false" customHeight="true" outlineLevel="0" collapsed="false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customFormat="false" ht="14.25" hidden="false" customHeight="true" outlineLevel="0" collapsed="false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customFormat="false" ht="14.25" hidden="false" customHeight="true" outlineLevel="0" collapsed="false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customFormat="false" ht="14.25" hidden="false" customHeight="true" outlineLevel="0" collapsed="false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customFormat="false" ht="14.25" hidden="false" customHeight="true" outlineLevel="0" collapsed="false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customFormat="false" ht="14.25" hidden="false" customHeight="true" outlineLevel="0" collapsed="false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customFormat="false" ht="14.25" hidden="false" customHeight="true" outlineLevel="0" collapsed="false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customFormat="false" ht="14.25" hidden="false" customHeight="true" outlineLevel="0" collapsed="false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customFormat="false" ht="14.25" hidden="false" customHeight="true" outlineLevel="0" collapsed="false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customFormat="false" ht="14.25" hidden="false" customHeight="true" outlineLevel="0" collapsed="false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customFormat="false" ht="14.25" hidden="false" customHeight="true" outlineLevel="0" collapsed="false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customFormat="false" ht="14.25" hidden="false" customHeight="true" outlineLevel="0" collapsed="false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customFormat="false" ht="14.25" hidden="false" customHeight="true" outlineLevel="0" collapsed="false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customFormat="false" ht="14.25" hidden="false" customHeight="true" outlineLevel="0" collapsed="false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customFormat="false" ht="14.25" hidden="false" customHeight="true" outlineLevel="0" collapsed="false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customFormat="false" ht="14.25" hidden="false" customHeight="true" outlineLevel="0" collapsed="false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customFormat="false" ht="14.25" hidden="false" customHeight="true" outlineLevel="0" collapsed="false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customFormat="false" ht="14.25" hidden="false" customHeight="true" outlineLevel="0" collapsed="false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customFormat="false" ht="14.25" hidden="false" customHeight="true" outlineLevel="0" collapsed="false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customFormat="false" ht="14.25" hidden="false" customHeight="true" outlineLevel="0" collapsed="false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customFormat="false" ht="14.25" hidden="false" customHeight="true" outlineLevel="0" collapsed="false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customFormat="false" ht="14.25" hidden="false" customHeight="true" outlineLevel="0" collapsed="false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customFormat="false" ht="14.25" hidden="false" customHeight="true" outlineLevel="0" collapsed="false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customFormat="false" ht="14.25" hidden="false" customHeight="true" outlineLevel="0" collapsed="false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customFormat="false" ht="14.25" hidden="false" customHeight="true" outlineLevel="0" collapsed="false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customFormat="false" ht="14.25" hidden="false" customHeight="true" outlineLevel="0" collapsed="false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customFormat="false" ht="14.25" hidden="false" customHeight="true" outlineLevel="0" collapsed="false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customFormat="false" ht="14.25" hidden="false" customHeight="true" outlineLevel="0" collapsed="false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customFormat="false" ht="14.25" hidden="false" customHeight="true" outlineLevel="0" collapsed="false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customFormat="false" ht="14.25" hidden="false" customHeight="true" outlineLevel="0" collapsed="false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customFormat="false" ht="14.25" hidden="false" customHeight="true" outlineLevel="0" collapsed="false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customFormat="false" ht="14.25" hidden="false" customHeight="true" outlineLevel="0" collapsed="false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customFormat="false" ht="14.25" hidden="false" customHeight="true" outlineLevel="0" collapsed="false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customFormat="false" ht="14.25" hidden="false" customHeight="true" outlineLevel="0" collapsed="false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customFormat="false" ht="14.25" hidden="false" customHeight="true" outlineLevel="0" collapsed="false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customFormat="false" ht="14.25" hidden="false" customHeight="true" outlineLevel="0" collapsed="false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customFormat="false" ht="14.25" hidden="false" customHeight="true" outlineLevel="0" collapsed="false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customFormat="false" ht="14.25" hidden="false" customHeight="true" outlineLevel="0" collapsed="false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customFormat="false" ht="14.25" hidden="false" customHeight="true" outlineLevel="0" collapsed="false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customFormat="false" ht="14.25" hidden="false" customHeight="true" outlineLevel="0" collapsed="false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customFormat="false" ht="14.25" hidden="false" customHeight="true" outlineLevel="0" collapsed="false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customFormat="false" ht="14.25" hidden="false" customHeight="true" outlineLevel="0" collapsed="false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customFormat="false" ht="14.25" hidden="false" customHeight="true" outlineLevel="0" collapsed="false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customFormat="false" ht="14.25" hidden="false" customHeight="true" outlineLevel="0" collapsed="false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customFormat="false" ht="14.25" hidden="false" customHeight="true" outlineLevel="0" collapsed="false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customFormat="false" ht="14.25" hidden="false" customHeight="true" outlineLevel="0" collapsed="false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customFormat="false" ht="14.25" hidden="false" customHeight="true" outlineLevel="0" collapsed="false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customFormat="false" ht="14.25" hidden="false" customHeight="true" outlineLevel="0" collapsed="false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customFormat="false" ht="14.25" hidden="false" customHeight="true" outlineLevel="0" collapsed="false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customFormat="false" ht="14.25" hidden="false" customHeight="true" outlineLevel="0" collapsed="false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customFormat="false" ht="14.25" hidden="false" customHeight="true" outlineLevel="0" collapsed="false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customFormat="false" ht="14.25" hidden="false" customHeight="true" outlineLevel="0" collapsed="false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customFormat="false" ht="14.25" hidden="false" customHeight="true" outlineLevel="0" collapsed="false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customFormat="false" ht="14.25" hidden="false" customHeight="true" outlineLevel="0" collapsed="false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customFormat="false" ht="14.25" hidden="false" customHeight="true" outlineLevel="0" collapsed="false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customFormat="false" ht="14.25" hidden="false" customHeight="true" outlineLevel="0" collapsed="false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customFormat="false" ht="14.25" hidden="false" customHeight="true" outlineLevel="0" collapsed="false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customFormat="false" ht="14.25" hidden="false" customHeight="true" outlineLevel="0" collapsed="false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customFormat="false" ht="14.25" hidden="false" customHeight="true" outlineLevel="0" collapsed="false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customFormat="false" ht="14.25" hidden="false" customHeight="true" outlineLevel="0" collapsed="false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customFormat="false" ht="14.25" hidden="false" customHeight="true" outlineLevel="0" collapsed="false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customFormat="false" ht="14.25" hidden="false" customHeight="true" outlineLevel="0" collapsed="false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customFormat="false" ht="14.25" hidden="false" customHeight="true" outlineLevel="0" collapsed="false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customFormat="false" ht="14.25" hidden="false" customHeight="true" outlineLevel="0" collapsed="false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customFormat="false" ht="14.25" hidden="false" customHeight="true" outlineLevel="0" collapsed="false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customFormat="false" ht="14.25" hidden="false" customHeight="true" outlineLevel="0" collapsed="false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customFormat="false" ht="14.25" hidden="false" customHeight="true" outlineLevel="0" collapsed="false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customFormat="false" ht="14.25" hidden="false" customHeight="true" outlineLevel="0" collapsed="false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customFormat="false" ht="14.25" hidden="false" customHeight="true" outlineLevel="0" collapsed="false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customFormat="false" ht="14.25" hidden="false" customHeight="true" outlineLevel="0" collapsed="false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customFormat="false" ht="14.25" hidden="false" customHeight="true" outlineLevel="0" collapsed="false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customFormat="false" ht="14.25" hidden="false" customHeight="true" outlineLevel="0" collapsed="false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customFormat="false" ht="14.25" hidden="false" customHeight="true" outlineLevel="0" collapsed="false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customFormat="false" ht="14.25" hidden="false" customHeight="true" outlineLevel="0" collapsed="false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customFormat="false" ht="14.25" hidden="false" customHeight="true" outlineLevel="0" collapsed="false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customFormat="false" ht="14.25" hidden="false" customHeight="true" outlineLevel="0" collapsed="false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customFormat="false" ht="14.25" hidden="false" customHeight="true" outlineLevel="0" collapsed="false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customFormat="false" ht="14.25" hidden="false" customHeight="true" outlineLevel="0" collapsed="false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customFormat="false" ht="14.25" hidden="false" customHeight="true" outlineLevel="0" collapsed="false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customFormat="false" ht="14.25" hidden="false" customHeight="true" outlineLevel="0" collapsed="false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customFormat="false" ht="14.25" hidden="false" customHeight="true" outlineLevel="0" collapsed="false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customFormat="false" ht="14.25" hidden="false" customHeight="true" outlineLevel="0" collapsed="false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customFormat="false" ht="14.25" hidden="false" customHeight="true" outlineLevel="0" collapsed="false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customFormat="false" ht="14.25" hidden="false" customHeight="true" outlineLevel="0" collapsed="false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customFormat="false" ht="14.25" hidden="false" customHeight="true" outlineLevel="0" collapsed="false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customFormat="false" ht="14.25" hidden="false" customHeight="true" outlineLevel="0" collapsed="false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customFormat="false" ht="14.25" hidden="false" customHeight="true" outlineLevel="0" collapsed="false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customFormat="false" ht="14.25" hidden="false" customHeight="true" outlineLevel="0" collapsed="false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customFormat="false" ht="14.25" hidden="false" customHeight="true" outlineLevel="0" collapsed="false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customFormat="false" ht="14.25" hidden="false" customHeight="true" outlineLevel="0" collapsed="false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customFormat="false" ht="14.25" hidden="false" customHeight="true" outlineLevel="0" collapsed="false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customFormat="false" ht="14.25" hidden="false" customHeight="true" outlineLevel="0" collapsed="false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customFormat="false" ht="14.25" hidden="false" customHeight="true" outlineLevel="0" collapsed="false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customFormat="false" ht="14.25" hidden="false" customHeight="true" outlineLevel="0" collapsed="false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customFormat="false" ht="14.25" hidden="false" customHeight="true" outlineLevel="0" collapsed="false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customFormat="false" ht="14.25" hidden="false" customHeight="true" outlineLevel="0" collapsed="false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customFormat="false" ht="14.25" hidden="false" customHeight="true" outlineLevel="0" collapsed="false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customFormat="false" ht="14.25" hidden="false" customHeight="true" outlineLevel="0" collapsed="false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customFormat="false" ht="14.25" hidden="false" customHeight="true" outlineLevel="0" collapsed="false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customFormat="false" ht="14.25" hidden="false" customHeight="true" outlineLevel="0" collapsed="false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customFormat="false" ht="14.25" hidden="false" customHeight="true" outlineLevel="0" collapsed="false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customFormat="false" ht="14.25" hidden="false" customHeight="true" outlineLevel="0" collapsed="false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customFormat="false" ht="14.25" hidden="false" customHeight="true" outlineLevel="0" collapsed="false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customFormat="false" ht="14.25" hidden="false" customHeight="true" outlineLevel="0" collapsed="false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customFormat="false" ht="14.25" hidden="false" customHeight="true" outlineLevel="0" collapsed="false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customFormat="false" ht="14.25" hidden="false" customHeight="true" outlineLevel="0" collapsed="false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customFormat="false" ht="14.25" hidden="false" customHeight="true" outlineLevel="0" collapsed="false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customFormat="false" ht="14.25" hidden="false" customHeight="true" outlineLevel="0" collapsed="false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customFormat="false" ht="14.25" hidden="false" customHeight="true" outlineLevel="0" collapsed="false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customFormat="false" ht="14.25" hidden="false" customHeight="true" outlineLevel="0" collapsed="false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customFormat="false" ht="14.25" hidden="false" customHeight="true" outlineLevel="0" collapsed="false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customFormat="false" ht="14.25" hidden="false" customHeight="true" outlineLevel="0" collapsed="false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customFormat="false" ht="14.25" hidden="false" customHeight="true" outlineLevel="0" collapsed="false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customFormat="false" ht="14.25" hidden="false" customHeight="true" outlineLevel="0" collapsed="false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customFormat="false" ht="14.25" hidden="false" customHeight="true" outlineLevel="0" collapsed="false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customFormat="false" ht="14.25" hidden="false" customHeight="true" outlineLevel="0" collapsed="false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customFormat="false" ht="14.25" hidden="false" customHeight="true" outlineLevel="0" collapsed="false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customFormat="false" ht="14.25" hidden="false" customHeight="true" outlineLevel="0" collapsed="false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customFormat="false" ht="14.25" hidden="false" customHeight="true" outlineLevel="0" collapsed="false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customFormat="false" ht="14.25" hidden="false" customHeight="true" outlineLevel="0" collapsed="false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customFormat="false" ht="14.25" hidden="false" customHeight="true" outlineLevel="0" collapsed="false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customFormat="false" ht="14.25" hidden="false" customHeight="true" outlineLevel="0" collapsed="false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customFormat="false" ht="14.25" hidden="false" customHeight="true" outlineLevel="0" collapsed="false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customFormat="false" ht="14.25" hidden="false" customHeight="true" outlineLevel="0" collapsed="false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customFormat="false" ht="14.25" hidden="false" customHeight="true" outlineLevel="0" collapsed="false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customFormat="false" ht="14.25" hidden="false" customHeight="true" outlineLevel="0" collapsed="false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customFormat="false" ht="14.25" hidden="false" customHeight="true" outlineLevel="0" collapsed="false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customFormat="false" ht="14.25" hidden="false" customHeight="true" outlineLevel="0" collapsed="false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customFormat="false" ht="14.25" hidden="false" customHeight="true" outlineLevel="0" collapsed="false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customFormat="false" ht="14.25" hidden="false" customHeight="true" outlineLevel="0" collapsed="false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customFormat="false" ht="14.25" hidden="false" customHeight="true" outlineLevel="0" collapsed="false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customFormat="false" ht="14.25" hidden="false" customHeight="true" outlineLevel="0" collapsed="false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customFormat="false" ht="14.25" hidden="false" customHeight="true" outlineLevel="0" collapsed="false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customFormat="false" ht="14.25" hidden="false" customHeight="true" outlineLevel="0" collapsed="false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customFormat="false" ht="14.25" hidden="false" customHeight="true" outlineLevel="0" collapsed="false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customFormat="false" ht="14.25" hidden="false" customHeight="true" outlineLevel="0" collapsed="false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customFormat="false" ht="14.25" hidden="false" customHeight="true" outlineLevel="0" collapsed="false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customFormat="false" ht="14.25" hidden="false" customHeight="true" outlineLevel="0" collapsed="false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customFormat="false" ht="14.25" hidden="false" customHeight="true" outlineLevel="0" collapsed="false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customFormat="false" ht="14.25" hidden="false" customHeight="true" outlineLevel="0" collapsed="false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customFormat="false" ht="14.25" hidden="false" customHeight="true" outlineLevel="0" collapsed="false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customFormat="false" ht="14.25" hidden="false" customHeight="true" outlineLevel="0" collapsed="false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customFormat="false" ht="14.25" hidden="false" customHeight="true" outlineLevel="0" collapsed="false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customFormat="false" ht="14.25" hidden="false" customHeight="true" outlineLevel="0" collapsed="false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customFormat="false" ht="14.25" hidden="false" customHeight="true" outlineLevel="0" collapsed="false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customFormat="false" ht="14.25" hidden="false" customHeight="true" outlineLevel="0" collapsed="false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customFormat="false" ht="14.25" hidden="false" customHeight="true" outlineLevel="0" collapsed="false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customFormat="false" ht="14.25" hidden="false" customHeight="true" outlineLevel="0" collapsed="false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customFormat="false" ht="14.25" hidden="false" customHeight="true" outlineLevel="0" collapsed="false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customFormat="false" ht="14.25" hidden="false" customHeight="true" outlineLevel="0" collapsed="false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customFormat="false" ht="14.25" hidden="false" customHeight="true" outlineLevel="0" collapsed="false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customFormat="false" ht="14.25" hidden="false" customHeight="true" outlineLevel="0" collapsed="false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customFormat="false" ht="14.25" hidden="false" customHeight="true" outlineLevel="0" collapsed="false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customFormat="false" ht="14.25" hidden="false" customHeight="true" outlineLevel="0" collapsed="false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customFormat="false" ht="14.25" hidden="false" customHeight="true" outlineLevel="0" collapsed="false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customFormat="false" ht="14.25" hidden="false" customHeight="true" outlineLevel="0" collapsed="false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customFormat="false" ht="14.25" hidden="false" customHeight="true" outlineLevel="0" collapsed="false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customFormat="false" ht="14.25" hidden="false" customHeight="true" outlineLevel="0" collapsed="false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customFormat="false" ht="14.25" hidden="false" customHeight="true" outlineLevel="0" collapsed="false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customFormat="false" ht="14.25" hidden="false" customHeight="true" outlineLevel="0" collapsed="false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customFormat="false" ht="14.25" hidden="false" customHeight="true" outlineLevel="0" collapsed="false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customFormat="false" ht="14.25" hidden="false" customHeight="true" outlineLevel="0" collapsed="false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customFormat="false" ht="14.25" hidden="false" customHeight="true" outlineLevel="0" collapsed="false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customFormat="false" ht="14.25" hidden="false" customHeight="true" outlineLevel="0" collapsed="false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customFormat="false" ht="14.25" hidden="false" customHeight="true" outlineLevel="0" collapsed="false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customFormat="false" ht="14.25" hidden="false" customHeight="true" outlineLevel="0" collapsed="false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customFormat="false" ht="14.25" hidden="false" customHeight="true" outlineLevel="0" collapsed="false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customFormat="false" ht="14.25" hidden="false" customHeight="true" outlineLevel="0" collapsed="false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customFormat="false" ht="14.25" hidden="false" customHeight="true" outlineLevel="0" collapsed="false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customFormat="false" ht="14.25" hidden="false" customHeight="true" outlineLevel="0" collapsed="false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customFormat="false" ht="14.25" hidden="false" customHeight="true" outlineLevel="0" collapsed="false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customFormat="false" ht="14.25" hidden="false" customHeight="true" outlineLevel="0" collapsed="false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customFormat="false" ht="14.25" hidden="false" customHeight="true" outlineLevel="0" collapsed="false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customFormat="false" ht="14.25" hidden="false" customHeight="true" outlineLevel="0" collapsed="false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customFormat="false" ht="14.25" hidden="false" customHeight="true" outlineLevel="0" collapsed="false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customFormat="false" ht="14.25" hidden="false" customHeight="true" outlineLevel="0" collapsed="false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customFormat="false" ht="14.25" hidden="false" customHeight="true" outlineLevel="0" collapsed="false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customFormat="false" ht="14.25" hidden="false" customHeight="true" outlineLevel="0" collapsed="false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customFormat="false" ht="14.25" hidden="false" customHeight="true" outlineLevel="0" collapsed="false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customFormat="false" ht="14.25" hidden="false" customHeight="true" outlineLevel="0" collapsed="false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customFormat="false" ht="14.25" hidden="false" customHeight="true" outlineLevel="0" collapsed="false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customFormat="false" ht="14.25" hidden="false" customHeight="true" outlineLevel="0" collapsed="false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customFormat="false" ht="14.25" hidden="false" customHeight="true" outlineLevel="0" collapsed="false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customFormat="false" ht="14.25" hidden="false" customHeight="true" outlineLevel="0" collapsed="false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customFormat="false" ht="14.25" hidden="false" customHeight="true" outlineLevel="0" collapsed="false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customFormat="false" ht="14.25" hidden="false" customHeight="true" outlineLevel="0" collapsed="false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customFormat="false" ht="14.25" hidden="false" customHeight="true" outlineLevel="0" collapsed="false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customFormat="false" ht="14.25" hidden="false" customHeight="true" outlineLevel="0" collapsed="false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customFormat="false" ht="14.25" hidden="false" customHeight="true" outlineLevel="0" collapsed="false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customFormat="false" ht="14.25" hidden="false" customHeight="true" outlineLevel="0" collapsed="false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customFormat="false" ht="14.25" hidden="false" customHeight="true" outlineLevel="0" collapsed="false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customFormat="false" ht="14.25" hidden="false" customHeight="true" outlineLevel="0" collapsed="false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customFormat="false" ht="14.25" hidden="false" customHeight="true" outlineLevel="0" collapsed="false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customFormat="false" ht="14.25" hidden="false" customHeight="true" outlineLevel="0" collapsed="false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customFormat="false" ht="14.25" hidden="false" customHeight="true" outlineLevel="0" collapsed="false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customFormat="false" ht="14.25" hidden="false" customHeight="true" outlineLevel="0" collapsed="false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customFormat="false" ht="14.25" hidden="false" customHeight="true" outlineLevel="0" collapsed="false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customFormat="false" ht="14.25" hidden="false" customHeight="true" outlineLevel="0" collapsed="false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customFormat="false" ht="14.25" hidden="false" customHeight="true" outlineLevel="0" collapsed="false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customFormat="false" ht="14.25" hidden="false" customHeight="true" outlineLevel="0" collapsed="false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customFormat="false" ht="14.25" hidden="false" customHeight="true" outlineLevel="0" collapsed="false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customFormat="false" ht="14.25" hidden="false" customHeight="true" outlineLevel="0" collapsed="false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customFormat="false" ht="14.25" hidden="false" customHeight="true" outlineLevel="0" collapsed="false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customFormat="false" ht="14.25" hidden="false" customHeight="true" outlineLevel="0" collapsed="false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customFormat="false" ht="14.25" hidden="false" customHeight="true" outlineLevel="0" collapsed="false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customFormat="false" ht="14.25" hidden="false" customHeight="true" outlineLevel="0" collapsed="false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customFormat="false" ht="14.25" hidden="false" customHeight="true" outlineLevel="0" collapsed="false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customFormat="false" ht="14.25" hidden="false" customHeight="true" outlineLevel="0" collapsed="false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customFormat="false" ht="14.25" hidden="false" customHeight="true" outlineLevel="0" collapsed="false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customFormat="false" ht="14.25" hidden="false" customHeight="true" outlineLevel="0" collapsed="false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customFormat="false" ht="14.25" hidden="false" customHeight="true" outlineLevel="0" collapsed="false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customFormat="false" ht="14.25" hidden="false" customHeight="true" outlineLevel="0" collapsed="false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customFormat="false" ht="14.25" hidden="false" customHeight="true" outlineLevel="0" collapsed="false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customFormat="false" ht="14.25" hidden="false" customHeight="true" outlineLevel="0" collapsed="false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customFormat="false" ht="14.25" hidden="false" customHeight="true" outlineLevel="0" collapsed="false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customFormat="false" ht="14.25" hidden="false" customHeight="true" outlineLevel="0" collapsed="false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customFormat="false" ht="14.25" hidden="false" customHeight="true" outlineLevel="0" collapsed="false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customFormat="false" ht="14.25" hidden="false" customHeight="true" outlineLevel="0" collapsed="false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customFormat="false" ht="14.25" hidden="false" customHeight="true" outlineLevel="0" collapsed="false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customFormat="false" ht="14.25" hidden="false" customHeight="true" outlineLevel="0" collapsed="false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customFormat="false" ht="14.25" hidden="false" customHeight="true" outlineLevel="0" collapsed="false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customFormat="false" ht="14.25" hidden="false" customHeight="true" outlineLevel="0" collapsed="false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customFormat="false" ht="14.25" hidden="false" customHeight="true" outlineLevel="0" collapsed="false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customFormat="false" ht="14.25" hidden="false" customHeight="true" outlineLevel="0" collapsed="false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customFormat="false" ht="14.25" hidden="false" customHeight="true" outlineLevel="0" collapsed="false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customFormat="false" ht="14.25" hidden="false" customHeight="true" outlineLevel="0" collapsed="false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customFormat="false" ht="14.25" hidden="false" customHeight="true" outlineLevel="0" collapsed="false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customFormat="false" ht="14.25" hidden="false" customHeight="true" outlineLevel="0" collapsed="false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customFormat="false" ht="14.25" hidden="false" customHeight="true" outlineLevel="0" collapsed="false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customFormat="false" ht="14.25" hidden="false" customHeight="true" outlineLevel="0" collapsed="false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customFormat="false" ht="14.25" hidden="false" customHeight="true" outlineLevel="0" collapsed="false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customFormat="false" ht="14.25" hidden="false" customHeight="true" outlineLevel="0" collapsed="false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customFormat="false" ht="14.25" hidden="false" customHeight="true" outlineLevel="0" collapsed="false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customFormat="false" ht="14.25" hidden="false" customHeight="true" outlineLevel="0" collapsed="false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customFormat="false" ht="14.25" hidden="false" customHeight="true" outlineLevel="0" collapsed="false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customFormat="false" ht="14.25" hidden="false" customHeight="true" outlineLevel="0" collapsed="false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customFormat="false" ht="14.25" hidden="false" customHeight="true" outlineLevel="0" collapsed="false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customFormat="false" ht="14.25" hidden="false" customHeight="true" outlineLevel="0" collapsed="false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customFormat="false" ht="14.25" hidden="false" customHeight="true" outlineLevel="0" collapsed="false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customFormat="false" ht="14.25" hidden="false" customHeight="true" outlineLevel="0" collapsed="false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customFormat="false" ht="14.25" hidden="false" customHeight="true" outlineLevel="0" collapsed="false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customFormat="false" ht="14.25" hidden="false" customHeight="true" outlineLevel="0" collapsed="false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customFormat="false" ht="14.25" hidden="false" customHeight="true" outlineLevel="0" collapsed="false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customFormat="false" ht="14.25" hidden="false" customHeight="true" outlineLevel="0" collapsed="false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customFormat="false" ht="14.25" hidden="false" customHeight="true" outlineLevel="0" collapsed="false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customFormat="false" ht="14.25" hidden="false" customHeight="true" outlineLevel="0" collapsed="false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customFormat="false" ht="14.25" hidden="false" customHeight="true" outlineLevel="0" collapsed="false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customFormat="false" ht="14.25" hidden="false" customHeight="true" outlineLevel="0" collapsed="false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customFormat="false" ht="14.25" hidden="false" customHeight="true" outlineLevel="0" collapsed="false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customFormat="false" ht="14.25" hidden="false" customHeight="true" outlineLevel="0" collapsed="false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customFormat="false" ht="14.25" hidden="false" customHeight="true" outlineLevel="0" collapsed="false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customFormat="false" ht="14.25" hidden="false" customHeight="true" outlineLevel="0" collapsed="false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customFormat="false" ht="14.25" hidden="false" customHeight="true" outlineLevel="0" collapsed="false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customFormat="false" ht="14.25" hidden="false" customHeight="true" outlineLevel="0" collapsed="false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customFormat="false" ht="14.25" hidden="false" customHeight="true" outlineLevel="0" collapsed="false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customFormat="false" ht="14.25" hidden="false" customHeight="true" outlineLevel="0" collapsed="false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customFormat="false" ht="14.25" hidden="false" customHeight="true" outlineLevel="0" collapsed="false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customFormat="false" ht="14.25" hidden="false" customHeight="true" outlineLevel="0" collapsed="false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customFormat="false" ht="14.25" hidden="false" customHeight="true" outlineLevel="0" collapsed="false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customFormat="false" ht="14.25" hidden="false" customHeight="true" outlineLevel="0" collapsed="false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customFormat="false" ht="14.25" hidden="false" customHeight="true" outlineLevel="0" collapsed="false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customFormat="false" ht="14.25" hidden="false" customHeight="true" outlineLevel="0" collapsed="false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customFormat="false" ht="14.25" hidden="false" customHeight="true" outlineLevel="0" collapsed="false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customFormat="false" ht="14.25" hidden="false" customHeight="true" outlineLevel="0" collapsed="false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customFormat="false" ht="14.25" hidden="false" customHeight="true" outlineLevel="0" collapsed="false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customFormat="false" ht="14.25" hidden="false" customHeight="true" outlineLevel="0" collapsed="false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customFormat="false" ht="14.25" hidden="false" customHeight="true" outlineLevel="0" collapsed="false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customFormat="false" ht="14.25" hidden="false" customHeight="true" outlineLevel="0" collapsed="false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customFormat="false" ht="14.25" hidden="false" customHeight="true" outlineLevel="0" collapsed="false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customFormat="false" ht="14.25" hidden="false" customHeight="true" outlineLevel="0" collapsed="false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customFormat="false" ht="14.25" hidden="false" customHeight="true" outlineLevel="0" collapsed="false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customFormat="false" ht="14.25" hidden="false" customHeight="true" outlineLevel="0" collapsed="false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customFormat="false" ht="14.25" hidden="false" customHeight="true" outlineLevel="0" collapsed="false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customFormat="false" ht="14.25" hidden="false" customHeight="true" outlineLevel="0" collapsed="false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customFormat="false" ht="14.25" hidden="false" customHeight="true" outlineLevel="0" collapsed="false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customFormat="false" ht="14.25" hidden="false" customHeight="true" outlineLevel="0" collapsed="false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customFormat="false" ht="14.25" hidden="false" customHeight="true" outlineLevel="0" collapsed="false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customFormat="false" ht="14.25" hidden="false" customHeight="true" outlineLevel="0" collapsed="false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customFormat="false" ht="14.25" hidden="false" customHeight="true" outlineLevel="0" collapsed="false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customFormat="false" ht="14.25" hidden="false" customHeight="true" outlineLevel="0" collapsed="false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customFormat="false" ht="14.25" hidden="false" customHeight="true" outlineLevel="0" collapsed="false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customFormat="false" ht="14.25" hidden="false" customHeight="true" outlineLevel="0" collapsed="false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customFormat="false" ht="14.25" hidden="false" customHeight="true" outlineLevel="0" collapsed="false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customFormat="false" ht="14.25" hidden="false" customHeight="true" outlineLevel="0" collapsed="false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customFormat="false" ht="14.25" hidden="false" customHeight="true" outlineLevel="0" collapsed="false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customFormat="false" ht="14.25" hidden="false" customHeight="true" outlineLevel="0" collapsed="false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customFormat="false" ht="14.25" hidden="false" customHeight="true" outlineLevel="0" collapsed="false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customFormat="false" ht="14.25" hidden="false" customHeight="true" outlineLevel="0" collapsed="false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customFormat="false" ht="14.25" hidden="false" customHeight="true" outlineLevel="0" collapsed="false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customFormat="false" ht="14.25" hidden="false" customHeight="true" outlineLevel="0" collapsed="false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customFormat="false" ht="14.25" hidden="false" customHeight="true" outlineLevel="0" collapsed="false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customFormat="false" ht="14.25" hidden="false" customHeight="true" outlineLevel="0" collapsed="false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customFormat="false" ht="14.25" hidden="false" customHeight="true" outlineLevel="0" collapsed="false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customFormat="false" ht="14.25" hidden="false" customHeight="true" outlineLevel="0" collapsed="false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customFormat="false" ht="14.25" hidden="false" customHeight="true" outlineLevel="0" collapsed="false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customFormat="false" ht="14.25" hidden="false" customHeight="true" outlineLevel="0" collapsed="false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customFormat="false" ht="14.25" hidden="false" customHeight="true" outlineLevel="0" collapsed="false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customFormat="false" ht="14.25" hidden="false" customHeight="true" outlineLevel="0" collapsed="false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customFormat="false" ht="14.25" hidden="false" customHeight="true" outlineLevel="0" collapsed="false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customFormat="false" ht="14.25" hidden="false" customHeight="true" outlineLevel="0" collapsed="false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customFormat="false" ht="14.25" hidden="false" customHeight="true" outlineLevel="0" collapsed="false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customFormat="false" ht="14.25" hidden="false" customHeight="true" outlineLevel="0" collapsed="false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customFormat="false" ht="14.25" hidden="false" customHeight="true" outlineLevel="0" collapsed="false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customFormat="false" ht="14.25" hidden="false" customHeight="true" outlineLevel="0" collapsed="false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customFormat="false" ht="14.25" hidden="false" customHeight="true" outlineLevel="0" collapsed="false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customFormat="false" ht="14.25" hidden="false" customHeight="true" outlineLevel="0" collapsed="false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customFormat="false" ht="14.25" hidden="false" customHeight="true" outlineLevel="0" collapsed="false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customFormat="false" ht="14.25" hidden="false" customHeight="true" outlineLevel="0" collapsed="false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customFormat="false" ht="14.25" hidden="false" customHeight="true" outlineLevel="0" collapsed="false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customFormat="false" ht="14.25" hidden="false" customHeight="true" outlineLevel="0" collapsed="false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customFormat="false" ht="14.25" hidden="false" customHeight="true" outlineLevel="0" collapsed="false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customFormat="false" ht="14.25" hidden="false" customHeight="true" outlineLevel="0" collapsed="false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customFormat="false" ht="14.25" hidden="false" customHeight="true" outlineLevel="0" collapsed="false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customFormat="false" ht="14.25" hidden="false" customHeight="true" outlineLevel="0" collapsed="false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customFormat="false" ht="14.25" hidden="false" customHeight="true" outlineLevel="0" collapsed="false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customFormat="false" ht="14.25" hidden="false" customHeight="true" outlineLevel="0" collapsed="false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customFormat="false" ht="14.25" hidden="false" customHeight="true" outlineLevel="0" collapsed="false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customFormat="false" ht="14.25" hidden="false" customHeight="true" outlineLevel="0" collapsed="false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customFormat="false" ht="14.25" hidden="false" customHeight="true" outlineLevel="0" collapsed="false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customFormat="false" ht="14.25" hidden="false" customHeight="true" outlineLevel="0" collapsed="false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customFormat="false" ht="14.25" hidden="false" customHeight="true" outlineLevel="0" collapsed="false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customFormat="false" ht="14.25" hidden="false" customHeight="true" outlineLevel="0" collapsed="false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customFormat="false" ht="14.25" hidden="false" customHeight="true" outlineLevel="0" collapsed="false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customFormat="false" ht="14.25" hidden="false" customHeight="true" outlineLevel="0" collapsed="false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customFormat="false" ht="14.25" hidden="false" customHeight="true" outlineLevel="0" collapsed="false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customFormat="false" ht="14.25" hidden="false" customHeight="true" outlineLevel="0" collapsed="false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customFormat="false" ht="14.25" hidden="false" customHeight="true" outlineLevel="0" collapsed="false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customFormat="false" ht="14.25" hidden="false" customHeight="true" outlineLevel="0" collapsed="false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customFormat="false" ht="14.25" hidden="false" customHeight="true" outlineLevel="0" collapsed="false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customFormat="false" ht="14.25" hidden="false" customHeight="true" outlineLevel="0" collapsed="false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customFormat="false" ht="14.25" hidden="false" customHeight="true" outlineLevel="0" collapsed="false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customFormat="false" ht="14.25" hidden="false" customHeight="true" outlineLevel="0" collapsed="false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customFormat="false" ht="14.25" hidden="false" customHeight="true" outlineLevel="0" collapsed="false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customFormat="false" ht="14.25" hidden="false" customHeight="true" outlineLevel="0" collapsed="false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customFormat="false" ht="14.25" hidden="false" customHeight="true" outlineLevel="0" collapsed="false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customFormat="false" ht="14.25" hidden="false" customHeight="true" outlineLevel="0" collapsed="false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customFormat="false" ht="14.25" hidden="false" customHeight="true" outlineLevel="0" collapsed="false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customFormat="false" ht="14.25" hidden="false" customHeight="true" outlineLevel="0" collapsed="false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customFormat="false" ht="14.25" hidden="false" customHeight="true" outlineLevel="0" collapsed="false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customFormat="false" ht="14.25" hidden="false" customHeight="true" outlineLevel="0" collapsed="false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customFormat="false" ht="14.25" hidden="false" customHeight="true" outlineLevel="0" collapsed="false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customFormat="false" ht="14.25" hidden="false" customHeight="true" outlineLevel="0" collapsed="false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customFormat="false" ht="14.25" hidden="false" customHeight="true" outlineLevel="0" collapsed="false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customFormat="false" ht="14.25" hidden="false" customHeight="true" outlineLevel="0" collapsed="false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customFormat="false" ht="14.25" hidden="false" customHeight="true" outlineLevel="0" collapsed="false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customFormat="false" ht="14.25" hidden="false" customHeight="true" outlineLevel="0" collapsed="false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customFormat="false" ht="14.25" hidden="false" customHeight="true" outlineLevel="0" collapsed="false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customFormat="false" ht="14.25" hidden="false" customHeight="true" outlineLevel="0" collapsed="false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customFormat="false" ht="14.25" hidden="false" customHeight="true" outlineLevel="0" collapsed="false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customFormat="false" ht="14.25" hidden="false" customHeight="true" outlineLevel="0" collapsed="false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customFormat="false" ht="14.25" hidden="false" customHeight="true" outlineLevel="0" collapsed="false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customFormat="false" ht="14.25" hidden="false" customHeight="true" outlineLevel="0" collapsed="false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customFormat="false" ht="14.25" hidden="false" customHeight="true" outlineLevel="0" collapsed="false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customFormat="false" ht="14.25" hidden="false" customHeight="true" outlineLevel="0" collapsed="false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customFormat="false" ht="14.25" hidden="false" customHeight="true" outlineLevel="0" collapsed="false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customFormat="false" ht="14.25" hidden="false" customHeight="true" outlineLevel="0" collapsed="false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customFormat="false" ht="14.25" hidden="false" customHeight="true" outlineLevel="0" collapsed="false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customFormat="false" ht="14.25" hidden="false" customHeight="true" outlineLevel="0" collapsed="false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customFormat="false" ht="14.25" hidden="false" customHeight="true" outlineLevel="0" collapsed="false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customFormat="false" ht="14.25" hidden="false" customHeight="true" outlineLevel="0" collapsed="false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customFormat="false" ht="14.25" hidden="false" customHeight="true" outlineLevel="0" collapsed="false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customFormat="false" ht="14.25" hidden="false" customHeight="true" outlineLevel="0" collapsed="false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customFormat="false" ht="14.25" hidden="false" customHeight="true" outlineLevel="0" collapsed="false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customFormat="false" ht="14.25" hidden="false" customHeight="true" outlineLevel="0" collapsed="false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customFormat="false" ht="14.25" hidden="false" customHeight="true" outlineLevel="0" collapsed="false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customFormat="false" ht="14.25" hidden="false" customHeight="true" outlineLevel="0" collapsed="false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customFormat="false" ht="14.25" hidden="false" customHeight="true" outlineLevel="0" collapsed="false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customFormat="false" ht="14.25" hidden="false" customHeight="true" outlineLevel="0" collapsed="false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customFormat="false" ht="14.25" hidden="false" customHeight="true" outlineLevel="0" collapsed="false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customFormat="false" ht="14.25" hidden="false" customHeight="true" outlineLevel="0" collapsed="false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customFormat="false" ht="14.25" hidden="false" customHeight="true" outlineLevel="0" collapsed="false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customFormat="false" ht="14.25" hidden="false" customHeight="true" outlineLevel="0" collapsed="false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customFormat="false" ht="14.25" hidden="false" customHeight="true" outlineLevel="0" collapsed="false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customFormat="false" ht="14.25" hidden="false" customHeight="true" outlineLevel="0" collapsed="false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customFormat="false" ht="14.25" hidden="false" customHeight="true" outlineLevel="0" collapsed="false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customFormat="false" ht="14.25" hidden="false" customHeight="true" outlineLevel="0" collapsed="false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customFormat="false" ht="14.25" hidden="false" customHeight="true" outlineLevel="0" collapsed="false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customFormat="false" ht="14.25" hidden="false" customHeight="true" outlineLevel="0" collapsed="false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customFormat="false" ht="14.25" hidden="false" customHeight="true" outlineLevel="0" collapsed="false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customFormat="false" ht="14.25" hidden="false" customHeight="true" outlineLevel="0" collapsed="false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customFormat="false" ht="14.25" hidden="false" customHeight="true" outlineLevel="0" collapsed="false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customFormat="false" ht="14.25" hidden="false" customHeight="true" outlineLevel="0" collapsed="false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customFormat="false" ht="14.25" hidden="false" customHeight="true" outlineLevel="0" collapsed="false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customFormat="false" ht="14.25" hidden="false" customHeight="true" outlineLevel="0" collapsed="false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customFormat="false" ht="14.25" hidden="false" customHeight="true" outlineLevel="0" collapsed="false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customFormat="false" ht="14.25" hidden="false" customHeight="true" outlineLevel="0" collapsed="false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customFormat="false" ht="14.25" hidden="false" customHeight="true" outlineLevel="0" collapsed="false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customFormat="false" ht="14.25" hidden="false" customHeight="true" outlineLevel="0" collapsed="false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customFormat="false" ht="14.25" hidden="false" customHeight="true" outlineLevel="0" collapsed="false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customFormat="false" ht="14.25" hidden="false" customHeight="true" outlineLevel="0" collapsed="false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customFormat="false" ht="14.25" hidden="false" customHeight="true" outlineLevel="0" collapsed="false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customFormat="false" ht="14.25" hidden="false" customHeight="true" outlineLevel="0" collapsed="false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customFormat="false" ht="14.25" hidden="false" customHeight="true" outlineLevel="0" collapsed="false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customFormat="false" ht="14.25" hidden="false" customHeight="true" outlineLevel="0" collapsed="false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customFormat="false" ht="14.25" hidden="false" customHeight="true" outlineLevel="0" collapsed="false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customFormat="false" ht="14.25" hidden="false" customHeight="true" outlineLevel="0" collapsed="false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customFormat="false" ht="14.25" hidden="false" customHeight="true" outlineLevel="0" collapsed="false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customFormat="false" ht="14.25" hidden="false" customHeight="true" outlineLevel="0" collapsed="false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customFormat="false" ht="14.25" hidden="false" customHeight="true" outlineLevel="0" collapsed="false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customFormat="false" ht="14.25" hidden="false" customHeight="true" outlineLevel="0" collapsed="false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customFormat="false" ht="14.25" hidden="false" customHeight="true" outlineLevel="0" collapsed="false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customFormat="false" ht="14.25" hidden="false" customHeight="true" outlineLevel="0" collapsed="false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customFormat="false" ht="14.25" hidden="false" customHeight="true" outlineLevel="0" collapsed="false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customFormat="false" ht="14.25" hidden="false" customHeight="true" outlineLevel="0" collapsed="false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customFormat="false" ht="14.25" hidden="false" customHeight="true" outlineLevel="0" collapsed="false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customFormat="false" ht="14.25" hidden="false" customHeight="true" outlineLevel="0" collapsed="false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customFormat="false" ht="14.25" hidden="false" customHeight="true" outlineLevel="0" collapsed="false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customFormat="false" ht="14.25" hidden="false" customHeight="true" outlineLevel="0" collapsed="false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customFormat="false" ht="14.25" hidden="false" customHeight="true" outlineLevel="0" collapsed="false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customFormat="false" ht="14.25" hidden="false" customHeight="true" outlineLevel="0" collapsed="false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customFormat="false" ht="14.25" hidden="false" customHeight="true" outlineLevel="0" collapsed="false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customFormat="false" ht="14.25" hidden="false" customHeight="true" outlineLevel="0" collapsed="false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customFormat="false" ht="14.25" hidden="false" customHeight="true" outlineLevel="0" collapsed="false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customFormat="false" ht="14.25" hidden="false" customHeight="true" outlineLevel="0" collapsed="false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customFormat="false" ht="14.25" hidden="false" customHeight="true" outlineLevel="0" collapsed="false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customFormat="false" ht="14.25" hidden="false" customHeight="true" outlineLevel="0" collapsed="false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customFormat="false" ht="14.25" hidden="false" customHeight="true" outlineLevel="0" collapsed="false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customFormat="false" ht="14.25" hidden="false" customHeight="true" outlineLevel="0" collapsed="false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customFormat="false" ht="14.25" hidden="false" customHeight="true" outlineLevel="0" collapsed="false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customFormat="false" ht="14.25" hidden="false" customHeight="true" outlineLevel="0" collapsed="false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customFormat="false" ht="14.25" hidden="false" customHeight="true" outlineLevel="0" collapsed="false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customFormat="false" ht="14.25" hidden="false" customHeight="true" outlineLevel="0" collapsed="false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customFormat="false" ht="14.25" hidden="false" customHeight="true" outlineLevel="0" collapsed="false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customFormat="false" ht="14.25" hidden="false" customHeight="true" outlineLevel="0" collapsed="false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customFormat="false" ht="14.25" hidden="false" customHeight="true" outlineLevel="0" collapsed="false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customFormat="false" ht="14.25" hidden="false" customHeight="true" outlineLevel="0" collapsed="false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customFormat="false" ht="14.25" hidden="false" customHeight="true" outlineLevel="0" collapsed="false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customFormat="false" ht="14.25" hidden="false" customHeight="true" outlineLevel="0" collapsed="false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customFormat="false" ht="14.25" hidden="false" customHeight="true" outlineLevel="0" collapsed="false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customFormat="false" ht="14.25" hidden="false" customHeight="true" outlineLevel="0" collapsed="false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customFormat="false" ht="14.25" hidden="false" customHeight="true" outlineLevel="0" collapsed="false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customFormat="false" ht="14.25" hidden="false" customHeight="true" outlineLevel="0" collapsed="false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customFormat="false" ht="14.25" hidden="false" customHeight="true" outlineLevel="0" collapsed="false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customFormat="false" ht="14.25" hidden="false" customHeight="true" outlineLevel="0" collapsed="false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customFormat="false" ht="14.25" hidden="false" customHeight="true" outlineLevel="0" collapsed="false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customFormat="false" ht="14.25" hidden="false" customHeight="true" outlineLevel="0" collapsed="false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customFormat="false" ht="14.25" hidden="false" customHeight="true" outlineLevel="0" collapsed="false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customFormat="false" ht="14.25" hidden="false" customHeight="true" outlineLevel="0" collapsed="false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customFormat="false" ht="14.25" hidden="false" customHeight="true" outlineLevel="0" collapsed="false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customFormat="false" ht="14.25" hidden="false" customHeight="true" outlineLevel="0" collapsed="false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customFormat="false" ht="14.25" hidden="false" customHeight="true" outlineLevel="0" collapsed="false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customFormat="false" ht="14.25" hidden="false" customHeight="true" outlineLevel="0" collapsed="false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customFormat="false" ht="14.25" hidden="false" customHeight="true" outlineLevel="0" collapsed="false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customFormat="false" ht="14.25" hidden="false" customHeight="true" outlineLevel="0" collapsed="false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customFormat="false" ht="14.25" hidden="false" customHeight="true" outlineLevel="0" collapsed="false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customFormat="false" ht="14.25" hidden="false" customHeight="true" outlineLevel="0" collapsed="false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customFormat="false" ht="14.25" hidden="false" customHeight="true" outlineLevel="0" collapsed="false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customFormat="false" ht="14.25" hidden="false" customHeight="true" outlineLevel="0" collapsed="false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customFormat="false" ht="14.25" hidden="false" customHeight="true" outlineLevel="0" collapsed="false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customFormat="false" ht="14.25" hidden="false" customHeight="true" outlineLevel="0" collapsed="false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customFormat="false" ht="14.25" hidden="false" customHeight="true" outlineLevel="0" collapsed="false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customFormat="false" ht="14.25" hidden="false" customHeight="true" outlineLevel="0" collapsed="false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customFormat="false" ht="14.25" hidden="false" customHeight="true" outlineLevel="0" collapsed="false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customFormat="false" ht="14.25" hidden="false" customHeight="true" outlineLevel="0" collapsed="false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customFormat="false" ht="14.25" hidden="false" customHeight="true" outlineLevel="0" collapsed="false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customFormat="false" ht="14.25" hidden="false" customHeight="true" outlineLevel="0" collapsed="false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customFormat="false" ht="14.25" hidden="false" customHeight="true" outlineLevel="0" collapsed="false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customFormat="false" ht="14.25" hidden="false" customHeight="true" outlineLevel="0" collapsed="false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customFormat="false" ht="14.25" hidden="false" customHeight="true" outlineLevel="0" collapsed="false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customFormat="false" ht="14.25" hidden="false" customHeight="true" outlineLevel="0" collapsed="false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customFormat="false" ht="14.25" hidden="false" customHeight="true" outlineLevel="0" collapsed="false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customFormat="false" ht="14.25" hidden="false" customHeight="true" outlineLevel="0" collapsed="false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customFormat="false" ht="14.25" hidden="false" customHeight="true" outlineLevel="0" collapsed="false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customFormat="false" ht="14.25" hidden="false" customHeight="true" outlineLevel="0" collapsed="false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customFormat="false" ht="14.25" hidden="false" customHeight="true" outlineLevel="0" collapsed="false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customFormat="false" ht="14.25" hidden="false" customHeight="true" outlineLevel="0" collapsed="false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customFormat="false" ht="14.25" hidden="false" customHeight="true" outlineLevel="0" collapsed="false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customFormat="false" ht="14.25" hidden="false" customHeight="true" outlineLevel="0" collapsed="false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customFormat="false" ht="14.25" hidden="false" customHeight="true" outlineLevel="0" collapsed="false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customFormat="false" ht="14.25" hidden="false" customHeight="true" outlineLevel="0" collapsed="false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customFormat="false" ht="14.25" hidden="false" customHeight="true" outlineLevel="0" collapsed="false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customFormat="false" ht="14.25" hidden="false" customHeight="true" outlineLevel="0" collapsed="false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customFormat="false" ht="14.25" hidden="false" customHeight="true" outlineLevel="0" collapsed="false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customFormat="false" ht="14.25" hidden="false" customHeight="true" outlineLevel="0" collapsed="false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customFormat="false" ht="14.25" hidden="false" customHeight="true" outlineLevel="0" collapsed="false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customFormat="false" ht="14.25" hidden="false" customHeight="true" outlineLevel="0" collapsed="false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customFormat="false" ht="14.25" hidden="false" customHeight="true" outlineLevel="0" collapsed="false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customFormat="false" ht="14.25" hidden="false" customHeight="true" outlineLevel="0" collapsed="false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customFormat="false" ht="14.25" hidden="false" customHeight="true" outlineLevel="0" collapsed="false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customFormat="false" ht="14.25" hidden="false" customHeight="true" outlineLevel="0" collapsed="false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customFormat="false" ht="14.25" hidden="false" customHeight="true" outlineLevel="0" collapsed="false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customFormat="false" ht="14.25" hidden="false" customHeight="true" outlineLevel="0" collapsed="false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customFormat="false" ht="14.25" hidden="false" customHeight="true" outlineLevel="0" collapsed="false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customFormat="false" ht="14.25" hidden="false" customHeight="true" outlineLevel="0" collapsed="false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customFormat="false" ht="14.25" hidden="false" customHeight="true" outlineLevel="0" collapsed="false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customFormat="false" ht="14.25" hidden="false" customHeight="true" outlineLevel="0" collapsed="false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customFormat="false" ht="14.25" hidden="false" customHeight="true" outlineLevel="0" collapsed="false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customFormat="false" ht="14.25" hidden="false" customHeight="true" outlineLevel="0" collapsed="false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customFormat="false" ht="14.25" hidden="false" customHeight="true" outlineLevel="0" collapsed="false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customFormat="false" ht="14.25" hidden="false" customHeight="true" outlineLevel="0" collapsed="false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customFormat="false" ht="14.25" hidden="false" customHeight="true" outlineLevel="0" collapsed="false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customFormat="false" ht="14.25" hidden="false" customHeight="true" outlineLevel="0" collapsed="false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customFormat="false" ht="14.25" hidden="false" customHeight="true" outlineLevel="0" collapsed="false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customFormat="false" ht="14.25" hidden="false" customHeight="true" outlineLevel="0" collapsed="false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customFormat="false" ht="14.25" hidden="false" customHeight="true" outlineLevel="0" collapsed="false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customFormat="false" ht="14.25" hidden="false" customHeight="true" outlineLevel="0" collapsed="false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customFormat="false" ht="14.25" hidden="false" customHeight="true" outlineLevel="0" collapsed="false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customFormat="false" ht="14.25" hidden="false" customHeight="true" outlineLevel="0" collapsed="false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customFormat="false" ht="14.25" hidden="false" customHeight="true" outlineLevel="0" collapsed="false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customFormat="false" ht="14.25" hidden="false" customHeight="true" outlineLevel="0" collapsed="false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customFormat="false" ht="14.25" hidden="false" customHeight="true" outlineLevel="0" collapsed="false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customFormat="false" ht="14.25" hidden="false" customHeight="true" outlineLevel="0" collapsed="false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customFormat="false" ht="14.25" hidden="false" customHeight="true" outlineLevel="0" collapsed="false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customFormat="false" ht="14.25" hidden="false" customHeight="true" outlineLevel="0" collapsed="false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customFormat="false" ht="14.25" hidden="false" customHeight="true" outlineLevel="0" collapsed="false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customFormat="false" ht="14.25" hidden="false" customHeight="true" outlineLevel="0" collapsed="false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customFormat="false" ht="14.25" hidden="false" customHeight="true" outlineLevel="0" collapsed="false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customFormat="false" ht="14.25" hidden="false" customHeight="true" outlineLevel="0" collapsed="false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customFormat="false" ht="14.25" hidden="false" customHeight="true" outlineLevel="0" collapsed="false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customFormat="false" ht="14.25" hidden="false" customHeight="true" outlineLevel="0" collapsed="false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customFormat="false" ht="14.25" hidden="false" customHeight="true" outlineLevel="0" collapsed="false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customFormat="false" ht="14.25" hidden="false" customHeight="true" outlineLevel="0" collapsed="false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customFormat="false" ht="14.25" hidden="false" customHeight="true" outlineLevel="0" collapsed="false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customFormat="false" ht="14.25" hidden="false" customHeight="true" outlineLevel="0" collapsed="false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customFormat="false" ht="14.25" hidden="false" customHeight="true" outlineLevel="0" collapsed="false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customFormat="false" ht="14.25" hidden="false" customHeight="true" outlineLevel="0" collapsed="false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customFormat="false" ht="14.25" hidden="false" customHeight="true" outlineLevel="0" collapsed="false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customFormat="false" ht="14.25" hidden="false" customHeight="true" outlineLevel="0" collapsed="false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customFormat="false" ht="14.25" hidden="false" customHeight="true" outlineLevel="0" collapsed="false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customFormat="false" ht="14.25" hidden="false" customHeight="true" outlineLevel="0" collapsed="false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customFormat="false" ht="14.25" hidden="false" customHeight="true" outlineLevel="0" collapsed="false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customFormat="false" ht="14.25" hidden="false" customHeight="true" outlineLevel="0" collapsed="false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customFormat="false" ht="14.25" hidden="false" customHeight="true" outlineLevel="0" collapsed="false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customFormat="false" ht="14.25" hidden="false" customHeight="true" outlineLevel="0" collapsed="false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customFormat="false" ht="14.25" hidden="false" customHeight="true" outlineLevel="0" collapsed="false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customFormat="false" ht="14.25" hidden="false" customHeight="true" outlineLevel="0" collapsed="false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customFormat="false" ht="14.25" hidden="false" customHeight="true" outlineLevel="0" collapsed="false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customFormat="false" ht="14.25" hidden="false" customHeight="true" outlineLevel="0" collapsed="false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customFormat="false" ht="14.25" hidden="false" customHeight="true" outlineLevel="0" collapsed="false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customFormat="false" ht="14.25" hidden="false" customHeight="true" outlineLevel="0" collapsed="false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customFormat="false" ht="14.25" hidden="false" customHeight="true" outlineLevel="0" collapsed="false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customFormat="false" ht="14.25" hidden="false" customHeight="true" outlineLevel="0" collapsed="false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customFormat="false" ht="14.25" hidden="false" customHeight="true" outlineLevel="0" collapsed="false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customFormat="false" ht="14.25" hidden="false" customHeight="true" outlineLevel="0" collapsed="false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customFormat="false" ht="14.25" hidden="false" customHeight="true" outlineLevel="0" collapsed="false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customFormat="false" ht="14.25" hidden="false" customHeight="true" outlineLevel="0" collapsed="false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customFormat="false" ht="14.25" hidden="false" customHeight="true" outlineLevel="0" collapsed="false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customFormat="false" ht="14.25" hidden="false" customHeight="true" outlineLevel="0" collapsed="false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customFormat="false" ht="14.25" hidden="false" customHeight="true" outlineLevel="0" collapsed="false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customFormat="false" ht="14.25" hidden="false" customHeight="true" outlineLevel="0" collapsed="false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customFormat="false" ht="14.25" hidden="false" customHeight="true" outlineLevel="0" collapsed="false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customFormat="false" ht="14.25" hidden="false" customHeight="true" outlineLevel="0" collapsed="false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customFormat="false" ht="14.25" hidden="false" customHeight="true" outlineLevel="0" collapsed="false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customFormat="false" ht="14.25" hidden="false" customHeight="true" outlineLevel="0" collapsed="false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customFormat="false" ht="14.25" hidden="false" customHeight="true" outlineLevel="0" collapsed="false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customFormat="false" ht="14.25" hidden="false" customHeight="true" outlineLevel="0" collapsed="false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customFormat="false" ht="14.25" hidden="false" customHeight="true" outlineLevel="0" collapsed="false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customFormat="false" ht="14.25" hidden="false" customHeight="true" outlineLevel="0" collapsed="false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customFormat="false" ht="14.25" hidden="false" customHeight="true" outlineLevel="0" collapsed="false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customFormat="false" ht="14.25" hidden="false" customHeight="true" outlineLevel="0" collapsed="false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customFormat="false" ht="14.25" hidden="false" customHeight="true" outlineLevel="0" collapsed="false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customFormat="false" ht="14.25" hidden="false" customHeight="true" outlineLevel="0" collapsed="false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customFormat="false" ht="14.25" hidden="false" customHeight="true" outlineLevel="0" collapsed="false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customFormat="false" ht="14.25" hidden="false" customHeight="true" outlineLevel="0" collapsed="false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customFormat="false" ht="14.25" hidden="false" customHeight="true" outlineLevel="0" collapsed="false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customFormat="false" ht="14.25" hidden="false" customHeight="true" outlineLevel="0" collapsed="false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customFormat="false" ht="14.25" hidden="false" customHeight="true" outlineLevel="0" collapsed="false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customFormat="false" ht="14.25" hidden="false" customHeight="true" outlineLevel="0" collapsed="false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customFormat="false" ht="14.25" hidden="false" customHeight="true" outlineLevel="0" collapsed="false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customFormat="false" ht="14.25" hidden="false" customHeight="true" outlineLevel="0" collapsed="false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customFormat="false" ht="14.25" hidden="false" customHeight="true" outlineLevel="0" collapsed="false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customFormat="false" ht="14.25" hidden="false" customHeight="true" outlineLevel="0" collapsed="false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customFormat="false" ht="14.25" hidden="false" customHeight="true" outlineLevel="0" collapsed="false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customFormat="false" ht="14.25" hidden="false" customHeight="true" outlineLevel="0" collapsed="false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customFormat="false" ht="14.25" hidden="false" customHeight="true" outlineLevel="0" collapsed="false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customFormat="false" ht="14.25" hidden="false" customHeight="true" outlineLevel="0" collapsed="false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customFormat="false" ht="14.25" hidden="false" customHeight="true" outlineLevel="0" collapsed="false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customFormat="false" ht="14.25" hidden="false" customHeight="true" outlineLevel="0" collapsed="false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customFormat="false" ht="14.25" hidden="false" customHeight="true" outlineLevel="0" collapsed="false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customFormat="false" ht="14.25" hidden="false" customHeight="true" outlineLevel="0" collapsed="false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customFormat="false" ht="14.25" hidden="false" customHeight="true" outlineLevel="0" collapsed="false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customFormat="false" ht="14.25" hidden="false" customHeight="true" outlineLevel="0" collapsed="false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customFormat="false" ht="14.25" hidden="false" customHeight="true" outlineLevel="0" collapsed="false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customFormat="false" ht="14.25" hidden="false" customHeight="true" outlineLevel="0" collapsed="false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customFormat="false" ht="14.25" hidden="false" customHeight="true" outlineLevel="0" collapsed="false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customFormat="false" ht="14.25" hidden="false" customHeight="true" outlineLevel="0" collapsed="false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customFormat="false" ht="14.25" hidden="false" customHeight="true" outlineLevel="0" collapsed="false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customFormat="false" ht="14.25" hidden="false" customHeight="true" outlineLevel="0" collapsed="false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customFormat="false" ht="14.25" hidden="false" customHeight="true" outlineLevel="0" collapsed="false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customFormat="false" ht="14.25" hidden="false" customHeight="true" outlineLevel="0" collapsed="false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customFormat="false" ht="14.25" hidden="false" customHeight="true" outlineLevel="0" collapsed="false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customFormat="false" ht="14.25" hidden="false" customHeight="true" outlineLevel="0" collapsed="false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customFormat="false" ht="14.25" hidden="false" customHeight="true" outlineLevel="0" collapsed="false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customFormat="false" ht="14.25" hidden="false" customHeight="true" outlineLevel="0" collapsed="false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customFormat="false" ht="14.25" hidden="false" customHeight="true" outlineLevel="0" collapsed="false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customFormat="false" ht="14.25" hidden="false" customHeight="true" outlineLevel="0" collapsed="false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customFormat="false" ht="14.25" hidden="false" customHeight="true" outlineLevel="0" collapsed="false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customFormat="false" ht="14.25" hidden="false" customHeight="true" outlineLevel="0" collapsed="false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customFormat="false" ht="14.25" hidden="false" customHeight="true" outlineLevel="0" collapsed="false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customFormat="false" ht="14.25" hidden="false" customHeight="true" outlineLevel="0" collapsed="false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customFormat="false" ht="14.25" hidden="false" customHeight="true" outlineLevel="0" collapsed="false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customFormat="false" ht="14.25" hidden="false" customHeight="true" outlineLevel="0" collapsed="false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customFormat="false" ht="14.25" hidden="false" customHeight="true" outlineLevel="0" collapsed="false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customFormat="false" ht="14.25" hidden="false" customHeight="true" outlineLevel="0" collapsed="false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customFormat="false" ht="14.25" hidden="false" customHeight="true" outlineLevel="0" collapsed="false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customFormat="false" ht="14.25" hidden="false" customHeight="true" outlineLevel="0" collapsed="false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customFormat="false" ht="14.25" hidden="false" customHeight="true" outlineLevel="0" collapsed="false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customFormat="false" ht="14.25" hidden="false" customHeight="true" outlineLevel="0" collapsed="false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customFormat="false" ht="14.25" hidden="false" customHeight="true" outlineLevel="0" collapsed="false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customFormat="false" ht="14.25" hidden="false" customHeight="true" outlineLevel="0" collapsed="false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customFormat="false" ht="14.25" hidden="false" customHeight="true" outlineLevel="0" collapsed="false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customFormat="false" ht="14.25" hidden="false" customHeight="true" outlineLevel="0" collapsed="false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customFormat="false" ht="14.25" hidden="false" customHeight="true" outlineLevel="0" collapsed="false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customFormat="false" ht="14.25" hidden="false" customHeight="true" outlineLevel="0" collapsed="false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customFormat="false" ht="14.25" hidden="false" customHeight="true" outlineLevel="0" collapsed="false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customFormat="false" ht="14.25" hidden="false" customHeight="true" outlineLevel="0" collapsed="false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customFormat="false" ht="14.25" hidden="false" customHeight="true" outlineLevel="0" collapsed="false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customFormat="false" ht="14.25" hidden="false" customHeight="true" outlineLevel="0" collapsed="false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customFormat="false" ht="14.25" hidden="false" customHeight="true" outlineLevel="0" collapsed="false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customFormat="false" ht="14.25" hidden="false" customHeight="true" outlineLevel="0" collapsed="false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customFormat="false" ht="14.25" hidden="false" customHeight="true" outlineLevel="0" collapsed="false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customFormat="false" ht="14.25" hidden="false" customHeight="true" outlineLevel="0" collapsed="false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customFormat="false" ht="14.25" hidden="false" customHeight="true" outlineLevel="0" collapsed="false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customFormat="false" ht="14.25" hidden="false" customHeight="true" outlineLevel="0" collapsed="false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customFormat="false" ht="14.25" hidden="false" customHeight="true" outlineLevel="0" collapsed="false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customFormat="false" ht="14.25" hidden="false" customHeight="true" outlineLevel="0" collapsed="false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customFormat="false" ht="14.25" hidden="false" customHeight="true" outlineLevel="0" collapsed="false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customFormat="false" ht="14.25" hidden="false" customHeight="true" outlineLevel="0" collapsed="false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customFormat="false" ht="14.25" hidden="false" customHeight="true" outlineLevel="0" collapsed="false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customFormat="false" ht="14.25" hidden="false" customHeight="true" outlineLevel="0" collapsed="false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customFormat="false" ht="14.25" hidden="false" customHeight="true" outlineLevel="0" collapsed="false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customFormat="false" ht="14.25" hidden="false" customHeight="true" outlineLevel="0" collapsed="false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customFormat="false" ht="14.25" hidden="false" customHeight="true" outlineLevel="0" collapsed="false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customFormat="false" ht="14.25" hidden="false" customHeight="true" outlineLevel="0" collapsed="false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customFormat="false" ht="14.25" hidden="false" customHeight="true" outlineLevel="0" collapsed="false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customFormat="false" ht="14.25" hidden="false" customHeight="true" outlineLevel="0" collapsed="false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customFormat="false" ht="14.25" hidden="false" customHeight="true" outlineLevel="0" collapsed="false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customFormat="false" ht="14.25" hidden="false" customHeight="true" outlineLevel="0" collapsed="false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customFormat="false" ht="14.25" hidden="false" customHeight="true" outlineLevel="0" collapsed="false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customFormat="false" ht="14.25" hidden="false" customHeight="true" outlineLevel="0" collapsed="false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customFormat="false" ht="14.25" hidden="false" customHeight="true" outlineLevel="0" collapsed="false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customFormat="false" ht="14.25" hidden="false" customHeight="true" outlineLevel="0" collapsed="false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customFormat="false" ht="14.25" hidden="false" customHeight="true" outlineLevel="0" collapsed="false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customFormat="false" ht="14.25" hidden="false" customHeight="true" outlineLevel="0" collapsed="false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customFormat="false" ht="14.25" hidden="false" customHeight="true" outlineLevel="0" collapsed="false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customFormat="false" ht="14.25" hidden="false" customHeight="true" outlineLevel="0" collapsed="false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customFormat="false" ht="14.25" hidden="false" customHeight="true" outlineLevel="0" collapsed="false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customFormat="false" ht="14.25" hidden="false" customHeight="true" outlineLevel="0" collapsed="false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customFormat="false" ht="14.25" hidden="false" customHeight="true" outlineLevel="0" collapsed="false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customFormat="false" ht="14.25" hidden="false" customHeight="true" outlineLevel="0" collapsed="false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customFormat="false" ht="14.25" hidden="false" customHeight="true" outlineLevel="0" collapsed="false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customFormat="false" ht="14.25" hidden="false" customHeight="true" outlineLevel="0" collapsed="false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customFormat="false" ht="14.25" hidden="false" customHeight="true" outlineLevel="0" collapsed="false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customFormat="false" ht="14.25" hidden="false" customHeight="true" outlineLevel="0" collapsed="false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customFormat="false" ht="14.25" hidden="false" customHeight="true" outlineLevel="0" collapsed="false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customFormat="false" ht="14.25" hidden="false" customHeight="true" outlineLevel="0" collapsed="false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customFormat="false" ht="14.25" hidden="false" customHeight="true" outlineLevel="0" collapsed="false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customFormat="false" ht="14.25" hidden="false" customHeight="true" outlineLevel="0" collapsed="false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customFormat="false" ht="14.25" hidden="false" customHeight="true" outlineLevel="0" collapsed="false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customFormat="false" ht="14.25" hidden="false" customHeight="true" outlineLevel="0" collapsed="false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customFormat="false" ht="14.25" hidden="false" customHeight="true" outlineLevel="0" collapsed="false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customFormat="false" ht="14.25" hidden="false" customHeight="true" outlineLevel="0" collapsed="false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customFormat="false" ht="14.25" hidden="false" customHeight="true" outlineLevel="0" collapsed="false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customFormat="false" ht="14.25" hidden="false" customHeight="true" outlineLevel="0" collapsed="false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customFormat="false" ht="14.25" hidden="false" customHeight="true" outlineLevel="0" collapsed="false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customFormat="false" ht="14.25" hidden="false" customHeight="true" outlineLevel="0" collapsed="false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customFormat="false" ht="14.25" hidden="false" customHeight="true" outlineLevel="0" collapsed="false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customFormat="false" ht="14.25" hidden="false" customHeight="true" outlineLevel="0" collapsed="false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customFormat="false" ht="14.25" hidden="false" customHeight="true" outlineLevel="0" collapsed="false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customFormat="false" ht="14.25" hidden="false" customHeight="true" outlineLevel="0" collapsed="false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customFormat="false" ht="14.25" hidden="false" customHeight="true" outlineLevel="0" collapsed="false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customFormat="false" ht="14.25" hidden="false" customHeight="true" outlineLevel="0" collapsed="false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customFormat="false" ht="14.25" hidden="false" customHeight="true" outlineLevel="0" collapsed="false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customFormat="false" ht="14.25" hidden="false" customHeight="true" outlineLevel="0" collapsed="false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customFormat="false" ht="14.25" hidden="false" customHeight="true" outlineLevel="0" collapsed="false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customFormat="false" ht="14.25" hidden="false" customHeight="true" outlineLevel="0" collapsed="false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customFormat="false" ht="14.25" hidden="false" customHeight="true" outlineLevel="0" collapsed="false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customFormat="false" ht="14.25" hidden="false" customHeight="true" outlineLevel="0" collapsed="false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customFormat="false" ht="14.25" hidden="false" customHeight="true" outlineLevel="0" collapsed="false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customFormat="false" ht="14.25" hidden="false" customHeight="true" outlineLevel="0" collapsed="false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customFormat="false" ht="14.25" hidden="false" customHeight="true" outlineLevel="0" collapsed="false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customFormat="false" ht="14.25" hidden="false" customHeight="true" outlineLevel="0" collapsed="false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customFormat="false" ht="14.25" hidden="false" customHeight="true" outlineLevel="0" collapsed="false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customFormat="false" ht="14.25" hidden="false" customHeight="true" outlineLevel="0" collapsed="false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customFormat="false" ht="14.25" hidden="false" customHeight="true" outlineLevel="0" collapsed="false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customFormat="false" ht="14.25" hidden="false" customHeight="true" outlineLevel="0" collapsed="false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customFormat="false" ht="14.25" hidden="false" customHeight="true" outlineLevel="0" collapsed="false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customFormat="false" ht="14.25" hidden="false" customHeight="true" outlineLevel="0" collapsed="false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customFormat="false" ht="14.25" hidden="false" customHeight="true" outlineLevel="0" collapsed="false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customFormat="false" ht="14.25" hidden="false" customHeight="true" outlineLevel="0" collapsed="false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customFormat="false" ht="14.25" hidden="false" customHeight="true" outlineLevel="0" collapsed="false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customFormat="false" ht="14.25" hidden="false" customHeight="true" outlineLevel="0" collapsed="false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customFormat="false" ht="14.25" hidden="false" customHeight="true" outlineLevel="0" collapsed="false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customFormat="false" ht="14.25" hidden="false" customHeight="true" outlineLevel="0" collapsed="false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customFormat="false" ht="14.25" hidden="false" customHeight="true" outlineLevel="0" collapsed="false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customFormat="false" ht="14.25" hidden="false" customHeight="true" outlineLevel="0" collapsed="false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customFormat="false" ht="14.25" hidden="false" customHeight="true" outlineLevel="0" collapsed="false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customFormat="false" ht="14.25" hidden="false" customHeight="true" outlineLevel="0" collapsed="false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customFormat="false" ht="14.25" hidden="false" customHeight="true" outlineLevel="0" collapsed="false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customFormat="false" ht="14.25" hidden="false" customHeight="true" outlineLevel="0" collapsed="false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customFormat="false" ht="14.25" hidden="false" customHeight="true" outlineLevel="0" collapsed="false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customFormat="false" ht="14.25" hidden="false" customHeight="true" outlineLevel="0" collapsed="false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customFormat="false" ht="14.25" hidden="false" customHeight="true" outlineLevel="0" collapsed="false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customFormat="false" ht="14.25" hidden="false" customHeight="true" outlineLevel="0" collapsed="false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customFormat="false" ht="14.25" hidden="false" customHeight="true" outlineLevel="0" collapsed="false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customFormat="false" ht="14.25" hidden="false" customHeight="true" outlineLevel="0" collapsed="false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customFormat="false" ht="14.25" hidden="false" customHeight="true" outlineLevel="0" collapsed="false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customFormat="false" ht="14.25" hidden="false" customHeight="true" outlineLevel="0" collapsed="false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customFormat="false" ht="14.25" hidden="false" customHeight="true" outlineLevel="0" collapsed="false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customFormat="false" ht="14.25" hidden="false" customHeight="true" outlineLevel="0" collapsed="false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customFormat="false" ht="14.25" hidden="false" customHeight="true" outlineLevel="0" collapsed="false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customFormat="false" ht="14.25" hidden="false" customHeight="true" outlineLevel="0" collapsed="false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customFormat="false" ht="14.25" hidden="false" customHeight="true" outlineLevel="0" collapsed="false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customFormat="false" ht="14.25" hidden="false" customHeight="true" outlineLevel="0" collapsed="false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customFormat="false" ht="14.25" hidden="false" customHeight="true" outlineLevel="0" collapsed="false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customFormat="false" ht="14.25" hidden="false" customHeight="true" outlineLevel="0" collapsed="false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customFormat="false" ht="14.25" hidden="false" customHeight="true" outlineLevel="0" collapsed="false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customFormat="false" ht="14.25" hidden="false" customHeight="true" outlineLevel="0" collapsed="false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customFormat="false" ht="14.25" hidden="false" customHeight="true" outlineLevel="0" collapsed="false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customFormat="false" ht="14.25" hidden="false" customHeight="true" outlineLevel="0" collapsed="false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customFormat="false" ht="14.25" hidden="false" customHeight="true" outlineLevel="0" collapsed="false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customFormat="false" ht="14.25" hidden="false" customHeight="true" outlineLevel="0" collapsed="false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customFormat="false" ht="14.25" hidden="false" customHeight="true" outlineLevel="0" collapsed="false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customFormat="false" ht="14.25" hidden="false" customHeight="true" outlineLevel="0" collapsed="false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customFormat="false" ht="14.25" hidden="false" customHeight="true" outlineLevel="0" collapsed="false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customFormat="false" ht="14.25" hidden="false" customHeight="true" outlineLevel="0" collapsed="false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customFormat="false" ht="14.25" hidden="false" customHeight="true" outlineLevel="0" collapsed="false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customFormat="false" ht="14.25" hidden="false" customHeight="true" outlineLevel="0" collapsed="false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customFormat="false" ht="14.25" hidden="false" customHeight="true" outlineLevel="0" collapsed="false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customFormat="false" ht="14.25" hidden="false" customHeight="true" outlineLevel="0" collapsed="false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customFormat="false" ht="14.25" hidden="false" customHeight="true" outlineLevel="0" collapsed="false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customFormat="false" ht="14.25" hidden="false" customHeight="true" outlineLevel="0" collapsed="false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customFormat="false" ht="14.25" hidden="false" customHeight="true" outlineLevel="0" collapsed="false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customFormat="false" ht="14.25" hidden="false" customHeight="true" outlineLevel="0" collapsed="false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customFormat="false" ht="14.25" hidden="false" customHeight="true" outlineLevel="0" collapsed="false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4AAFE"/>
    <pageSetUpPr fitToPage="false"/>
  </sheetPr>
  <dimension ref="A1:H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1" width="22.88"/>
    <col collapsed="false" customWidth="true" hidden="false" outlineLevel="0" max="28" min="2" style="1" width="8.67"/>
  </cols>
  <sheetData>
    <row r="1" customFormat="false" ht="15" hidden="false" customHeight="false" outlineLevel="0" collapsed="false">
      <c r="A1" s="66" t="s">
        <v>346</v>
      </c>
      <c r="B1" s="66" t="s">
        <v>149</v>
      </c>
      <c r="C1" s="66" t="s">
        <v>150</v>
      </c>
      <c r="D1" s="66" t="s">
        <v>246</v>
      </c>
      <c r="E1" s="66" t="s">
        <v>309</v>
      </c>
      <c r="F1" s="66" t="s">
        <v>314</v>
      </c>
      <c r="G1" s="66" t="s">
        <v>347</v>
      </c>
      <c r="H1" s="66" t="s">
        <v>348</v>
      </c>
    </row>
    <row r="2" customFormat="false" ht="15" hidden="false" customHeight="false" outlineLevel="0" collapsed="false">
      <c r="A2" s="111" t="s">
        <v>162</v>
      </c>
      <c r="B2" s="90" t="n">
        <v>1.24</v>
      </c>
      <c r="C2" s="90" t="n">
        <v>65</v>
      </c>
      <c r="D2" s="90" t="n">
        <v>140</v>
      </c>
      <c r="E2" s="90" t="n">
        <v>47</v>
      </c>
      <c r="F2" s="90" t="n">
        <v>0</v>
      </c>
      <c r="G2" s="90" t="n">
        <v>1950</v>
      </c>
      <c r="H2" s="90" t="n">
        <v>333</v>
      </c>
    </row>
    <row r="3" customFormat="false" ht="15" hidden="false" customHeight="false" outlineLevel="0" collapsed="false">
      <c r="A3" s="111" t="s">
        <v>164</v>
      </c>
      <c r="B3" s="90" t="n">
        <v>1</v>
      </c>
      <c r="C3" s="90" t="n">
        <v>38</v>
      </c>
      <c r="D3" s="90" t="n">
        <v>138</v>
      </c>
      <c r="E3" s="90" t="n">
        <v>34</v>
      </c>
      <c r="F3" s="90" t="n">
        <v>0</v>
      </c>
      <c r="G3" s="90" t="n">
        <v>1250</v>
      </c>
      <c r="H3" s="90" t="n">
        <v>220</v>
      </c>
    </row>
    <row r="4" customFormat="false" ht="15" hidden="false" customHeight="false" outlineLevel="0" collapsed="false">
      <c r="A4" s="111" t="s">
        <v>165</v>
      </c>
      <c r="B4" s="90" t="n">
        <v>1</v>
      </c>
      <c r="C4" s="90" t="n">
        <v>38</v>
      </c>
      <c r="D4" s="90" t="n">
        <v>130</v>
      </c>
      <c r="E4" s="90" t="n">
        <v>34</v>
      </c>
      <c r="F4" s="90" t="n">
        <v>13</v>
      </c>
      <c r="G4" s="90" t="n">
        <v>1550</v>
      </c>
      <c r="H4" s="90" t="n">
        <v>285</v>
      </c>
    </row>
    <row r="5" customFormat="false" ht="15" hidden="false" customHeight="false" outlineLevel="0" collapsed="false">
      <c r="A5" s="111" t="s">
        <v>167</v>
      </c>
      <c r="B5" s="90" t="n">
        <v>1</v>
      </c>
      <c r="C5" s="90" t="n">
        <v>38</v>
      </c>
      <c r="D5" s="90" t="n">
        <v>121</v>
      </c>
      <c r="E5" s="90" t="n">
        <v>36</v>
      </c>
      <c r="F5" s="90" t="n">
        <v>20</v>
      </c>
      <c r="G5" s="90" t="n">
        <v>1330</v>
      </c>
      <c r="H5" s="90" t="n">
        <v>410</v>
      </c>
    </row>
    <row r="6" customFormat="false" ht="15" hidden="false" customHeight="false" outlineLevel="0" collapsed="false">
      <c r="A6" s="111" t="s">
        <v>169</v>
      </c>
      <c r="B6" s="90" t="n">
        <v>1.2</v>
      </c>
      <c r="C6" s="90" t="n">
        <v>60</v>
      </c>
      <c r="D6" s="90" t="n">
        <v>140</v>
      </c>
      <c r="E6" s="90" t="n">
        <v>41</v>
      </c>
      <c r="F6" s="90" t="n">
        <v>20</v>
      </c>
      <c r="G6" s="90" t="n">
        <v>2230</v>
      </c>
      <c r="H6" s="90" t="n">
        <v>345</v>
      </c>
    </row>
    <row r="7" customFormat="false" ht="15" hidden="false" customHeight="false" outlineLevel="0" collapsed="false">
      <c r="A7" s="111" t="s">
        <v>170</v>
      </c>
      <c r="B7" s="90" t="n">
        <v>1</v>
      </c>
      <c r="C7" s="90" t="n">
        <v>40</v>
      </c>
      <c r="D7" s="90" t="n">
        <v>120</v>
      </c>
      <c r="E7" s="90" t="n">
        <v>39</v>
      </c>
      <c r="F7" s="90" t="n">
        <v>0</v>
      </c>
      <c r="G7" s="90" t="n">
        <v>1500</v>
      </c>
      <c r="H7" s="90" t="n">
        <v>255</v>
      </c>
    </row>
    <row r="8" customFormat="false" ht="15" hidden="false" customHeight="false" outlineLevel="0" collapsed="false">
      <c r="A8" s="111" t="s">
        <v>171</v>
      </c>
      <c r="B8" s="90" t="n">
        <v>1.2</v>
      </c>
      <c r="C8" s="90" t="n">
        <v>48</v>
      </c>
      <c r="D8" s="90" t="n">
        <v>170</v>
      </c>
      <c r="E8" s="90" t="n">
        <v>37</v>
      </c>
      <c r="F8" s="90" t="n">
        <v>0</v>
      </c>
      <c r="G8" s="90" t="n">
        <v>1700</v>
      </c>
      <c r="H8" s="90" t="n">
        <v>305</v>
      </c>
    </row>
    <row r="9" customFormat="false" ht="15" hidden="false" customHeight="false" outlineLevel="0" collapsed="false">
      <c r="A9" s="111" t="s">
        <v>173</v>
      </c>
      <c r="B9" s="90" t="n">
        <v>1</v>
      </c>
      <c r="C9" s="90" t="n">
        <v>40</v>
      </c>
      <c r="D9" s="90" t="n">
        <v>120</v>
      </c>
      <c r="E9" s="90" t="n">
        <v>39</v>
      </c>
      <c r="F9" s="90" t="n">
        <v>15</v>
      </c>
      <c r="G9" s="90" t="n">
        <v>1500</v>
      </c>
      <c r="H9" s="90" t="n">
        <v>255</v>
      </c>
    </row>
    <row r="10" customFormat="false" ht="15" hidden="false" customHeight="false" outlineLevel="0" collapsed="false">
      <c r="A10" s="111" t="s">
        <v>174</v>
      </c>
      <c r="B10" s="90" t="n">
        <v>1.2</v>
      </c>
      <c r="C10" s="90" t="n">
        <v>44</v>
      </c>
      <c r="D10" s="90" t="n">
        <v>170</v>
      </c>
      <c r="E10" s="90" t="n">
        <v>40</v>
      </c>
      <c r="F10" s="90" t="n">
        <v>18</v>
      </c>
      <c r="G10" s="90" t="n">
        <v>1330</v>
      </c>
      <c r="H10" s="90" t="n">
        <v>305</v>
      </c>
    </row>
    <row r="11" customFormat="false" ht="15" hidden="false" customHeight="false" outlineLevel="0" collapsed="false">
      <c r="A11" s="111" t="s">
        <v>179</v>
      </c>
      <c r="B11" s="90" t="n">
        <v>1.23</v>
      </c>
      <c r="C11" s="90" t="n">
        <v>43</v>
      </c>
      <c r="D11" s="90" t="n">
        <v>160</v>
      </c>
      <c r="E11" s="90" t="n">
        <v>46</v>
      </c>
      <c r="F11" s="90" t="n">
        <v>15</v>
      </c>
      <c r="G11" s="90" t="n">
        <v>1700</v>
      </c>
      <c r="H11" s="90" t="n">
        <v>305</v>
      </c>
    </row>
    <row r="12" customFormat="false" ht="15" hidden="false" customHeight="false" outlineLevel="0" collapsed="false">
      <c r="A12" s="111" t="s">
        <v>181</v>
      </c>
      <c r="B12" s="90" t="n">
        <v>1.21</v>
      </c>
      <c r="C12" s="90" t="n">
        <v>44</v>
      </c>
      <c r="D12" s="90" t="n">
        <v>170</v>
      </c>
      <c r="E12" s="90" t="n">
        <v>39</v>
      </c>
      <c r="F12" s="90" t="n">
        <v>0</v>
      </c>
      <c r="G12" s="90" t="n">
        <v>1900</v>
      </c>
      <c r="H12" s="90" t="n">
        <v>276</v>
      </c>
    </row>
    <row r="13" customFormat="false" ht="15" hidden="false" customHeight="false" outlineLevel="0" collapsed="false">
      <c r="A13" s="111" t="s">
        <v>183</v>
      </c>
      <c r="B13" s="90" t="n">
        <v>1.24</v>
      </c>
      <c r="C13" s="90" t="n">
        <v>44</v>
      </c>
      <c r="D13" s="90" t="n">
        <v>170</v>
      </c>
      <c r="E13" s="90" t="n">
        <v>43</v>
      </c>
      <c r="F13" s="90" t="n">
        <v>17</v>
      </c>
      <c r="G13" s="90" t="n">
        <v>1950</v>
      </c>
      <c r="H13" s="90" t="n">
        <v>321</v>
      </c>
    </row>
    <row r="14" customFormat="false" ht="15" hidden="false" customHeight="false" outlineLevel="0" collapsed="false">
      <c r="A14" s="111" t="s">
        <v>185</v>
      </c>
      <c r="B14" s="90" t="n">
        <v>1.2</v>
      </c>
      <c r="C14" s="90" t="n">
        <v>46</v>
      </c>
      <c r="D14" s="90" t="n">
        <v>160</v>
      </c>
      <c r="E14" s="90" t="n">
        <v>41</v>
      </c>
      <c r="F14" s="90" t="n">
        <v>0</v>
      </c>
      <c r="G14" s="90" t="n">
        <v>2040</v>
      </c>
      <c r="H14" s="90" t="n">
        <v>328</v>
      </c>
    </row>
    <row r="15" customFormat="false" ht="15" hidden="false" customHeight="false" outlineLevel="0" collapsed="false">
      <c r="A15" s="111" t="s">
        <v>187</v>
      </c>
      <c r="B15" s="90" t="n">
        <v>1.2</v>
      </c>
      <c r="C15" s="90" t="n">
        <v>45</v>
      </c>
      <c r="D15" s="90" t="n">
        <v>170</v>
      </c>
      <c r="E15" s="90" t="n">
        <v>39</v>
      </c>
      <c r="F15" s="90" t="n">
        <v>20</v>
      </c>
      <c r="G15" s="90" t="n">
        <v>2340</v>
      </c>
      <c r="H15" s="90" t="n">
        <v>334</v>
      </c>
    </row>
    <row r="16" customFormat="false" ht="15" hidden="false" customHeight="false" outlineLevel="0" collapsed="false">
      <c r="A16" s="111" t="s">
        <v>188</v>
      </c>
      <c r="B16" s="90" t="n">
        <v>1.2</v>
      </c>
      <c r="C16" s="90" t="n">
        <v>46</v>
      </c>
      <c r="D16" s="90" t="n">
        <v>170</v>
      </c>
      <c r="E16" s="90" t="n">
        <v>39</v>
      </c>
      <c r="F16" s="90" t="n">
        <v>0</v>
      </c>
      <c r="G16" s="90" t="n">
        <v>2320</v>
      </c>
      <c r="H16" s="90" t="n">
        <v>354</v>
      </c>
    </row>
    <row r="17" customFormat="false" ht="15" hidden="false" customHeight="false" outlineLevel="0" collapsed="false">
      <c r="A17" s="111" t="s">
        <v>189</v>
      </c>
      <c r="B17" s="90" t="n">
        <v>1.5</v>
      </c>
      <c r="C17" s="90" t="n">
        <v>56</v>
      </c>
      <c r="D17" s="90" t="n">
        <v>180</v>
      </c>
      <c r="E17" s="90" t="n">
        <v>58</v>
      </c>
      <c r="F17" s="90" t="n">
        <v>15</v>
      </c>
      <c r="G17" s="90" t="n">
        <v>2070</v>
      </c>
      <c r="H17" s="90" t="n">
        <v>325</v>
      </c>
    </row>
    <row r="18" customFormat="false" ht="15" hidden="false" customHeight="false" outlineLevel="0" collapsed="false">
      <c r="A18" s="111" t="s">
        <v>192</v>
      </c>
      <c r="B18" s="90" t="n">
        <v>1.5</v>
      </c>
      <c r="C18" s="90" t="n">
        <v>75</v>
      </c>
      <c r="D18" s="90" t="n">
        <v>170</v>
      </c>
      <c r="E18" s="90" t="n">
        <v>58</v>
      </c>
      <c r="F18" s="90" t="n">
        <v>0</v>
      </c>
      <c r="G18" s="90" t="n">
        <v>2340</v>
      </c>
      <c r="H18" s="90" t="n">
        <v>300</v>
      </c>
    </row>
    <row r="19" customFormat="false" ht="15" hidden="false" customHeight="false" outlineLevel="0" collapsed="false">
      <c r="A19" s="111" t="s">
        <v>195</v>
      </c>
      <c r="B19" s="90" t="n">
        <v>1.5</v>
      </c>
      <c r="C19" s="90" t="n">
        <v>63</v>
      </c>
      <c r="D19" s="90" t="n">
        <v>210</v>
      </c>
      <c r="E19" s="90" t="n">
        <v>45</v>
      </c>
      <c r="F19" s="90" t="n">
        <v>8</v>
      </c>
      <c r="G19" s="90" t="n">
        <v>2400</v>
      </c>
      <c r="H19" s="90" t="n">
        <v>450</v>
      </c>
    </row>
    <row r="20" customFormat="false" ht="15" hidden="false" customHeight="false" outlineLevel="0" collapsed="false">
      <c r="A20" s="111" t="s">
        <v>197</v>
      </c>
      <c r="B20" s="90" t="n">
        <v>1.5</v>
      </c>
      <c r="C20" s="90" t="n">
        <v>83</v>
      </c>
      <c r="D20" s="90" t="n">
        <v>120</v>
      </c>
      <c r="E20" s="90" t="n">
        <v>80</v>
      </c>
      <c r="F20" s="90" t="n">
        <v>0</v>
      </c>
      <c r="G20" s="90" t="n">
        <v>2100</v>
      </c>
      <c r="H20" s="90" t="n">
        <v>283</v>
      </c>
    </row>
    <row r="21" customFormat="false" ht="15.75" hidden="false" customHeight="true" outlineLevel="0" collapsed="false">
      <c r="A21" s="111" t="s">
        <v>199</v>
      </c>
      <c r="B21" s="90" t="n">
        <v>1.5</v>
      </c>
      <c r="C21" s="90" t="n">
        <v>60</v>
      </c>
      <c r="D21" s="90" t="n">
        <v>180</v>
      </c>
      <c r="E21" s="90" t="n">
        <v>58</v>
      </c>
      <c r="F21" s="90" t="n">
        <v>0</v>
      </c>
      <c r="G21" s="90" t="n">
        <v>2010</v>
      </c>
      <c r="H21" s="90" t="n">
        <v>360</v>
      </c>
    </row>
    <row r="22" customFormat="false" ht="15.75" hidden="false" customHeight="true" outlineLevel="0" collapsed="false">
      <c r="A22" s="111" t="s">
        <v>200</v>
      </c>
      <c r="B22" s="90" t="n">
        <v>1.5</v>
      </c>
      <c r="C22" s="90" t="n">
        <v>60</v>
      </c>
      <c r="D22" s="90" t="n">
        <v>180</v>
      </c>
      <c r="E22" s="90" t="n">
        <v>58</v>
      </c>
      <c r="F22" s="90" t="n">
        <v>15</v>
      </c>
      <c r="G22" s="90" t="n">
        <v>2010</v>
      </c>
      <c r="H22" s="90" t="n">
        <v>390</v>
      </c>
    </row>
    <row r="23" customFormat="false" ht="15.75" hidden="false" customHeight="true" outlineLevel="0" collapsed="false">
      <c r="A23" s="111" t="s">
        <v>201</v>
      </c>
      <c r="B23" s="90" t="n">
        <v>1.5</v>
      </c>
      <c r="C23" s="90" t="n">
        <v>64</v>
      </c>
      <c r="D23" s="90" t="n">
        <v>210</v>
      </c>
      <c r="E23" s="90" t="n">
        <v>42</v>
      </c>
      <c r="F23" s="90" t="n">
        <v>0</v>
      </c>
      <c r="G23" s="90" t="n">
        <v>1700</v>
      </c>
      <c r="H23" s="90" t="n">
        <v>330</v>
      </c>
    </row>
    <row r="24" customFormat="false" ht="15.75" hidden="false" customHeight="true" outlineLevel="0" collapsed="false">
      <c r="A24" s="111" t="s">
        <v>202</v>
      </c>
      <c r="B24" s="90" t="n">
        <v>1.5</v>
      </c>
      <c r="C24" s="90" t="n">
        <v>63</v>
      </c>
      <c r="D24" s="90" t="n">
        <v>210</v>
      </c>
      <c r="E24" s="90" t="n">
        <v>45</v>
      </c>
      <c r="F24" s="90" t="n">
        <v>8</v>
      </c>
      <c r="G24" s="90" t="n">
        <v>2400</v>
      </c>
      <c r="H24" s="90" t="n">
        <v>450</v>
      </c>
    </row>
    <row r="25" customFormat="false" ht="15.75" hidden="false" customHeight="true" outlineLevel="0" collapsed="false">
      <c r="A25" s="111" t="s">
        <v>203</v>
      </c>
      <c r="B25" s="90" t="n">
        <v>1.5</v>
      </c>
      <c r="C25" s="90" t="n">
        <v>58</v>
      </c>
      <c r="D25" s="90" t="n">
        <v>200</v>
      </c>
      <c r="E25" s="90" t="n">
        <v>50</v>
      </c>
      <c r="F25" s="90" t="n">
        <v>0</v>
      </c>
      <c r="G25" s="90" t="n">
        <v>2250</v>
      </c>
      <c r="H25" s="90" t="n">
        <v>476</v>
      </c>
    </row>
    <row r="26" customFormat="false" ht="15.75" hidden="false" customHeight="true" outlineLevel="0" collapsed="false">
      <c r="A26" s="111" t="s">
        <v>204</v>
      </c>
      <c r="B26" s="90" t="n">
        <v>1.5</v>
      </c>
      <c r="C26" s="90" t="n">
        <v>69</v>
      </c>
      <c r="D26" s="90" t="n">
        <v>190</v>
      </c>
      <c r="E26" s="90" t="n">
        <v>50</v>
      </c>
      <c r="F26" s="90" t="n">
        <v>0</v>
      </c>
      <c r="G26" s="90" t="n">
        <v>2570</v>
      </c>
      <c r="H26" s="90" t="n">
        <v>426</v>
      </c>
    </row>
    <row r="27" customFormat="false" ht="15.75" hidden="false" customHeight="true" outlineLevel="0" collapsed="false">
      <c r="A27" s="111" t="s">
        <v>205</v>
      </c>
      <c r="B27" s="90" t="n">
        <v>1.5</v>
      </c>
      <c r="C27" s="90" t="n">
        <v>57</v>
      </c>
      <c r="D27" s="90" t="n">
        <v>210</v>
      </c>
      <c r="E27" s="90" t="n">
        <v>49</v>
      </c>
      <c r="F27" s="90" t="n">
        <v>0</v>
      </c>
      <c r="G27" s="90" t="n">
        <v>3000</v>
      </c>
      <c r="H27" s="90" t="n">
        <v>411</v>
      </c>
    </row>
    <row r="28" customFormat="false" ht="15.75" hidden="false" customHeight="true" outlineLevel="0" collapsed="false">
      <c r="A28" s="111" t="s">
        <v>206</v>
      </c>
      <c r="B28" s="90" t="n">
        <v>2</v>
      </c>
      <c r="C28" s="90" t="n">
        <v>50</v>
      </c>
      <c r="D28" s="90" t="n">
        <v>87.5</v>
      </c>
      <c r="E28" s="90" t="n">
        <v>50</v>
      </c>
      <c r="F28" s="90" t="n">
        <v>0</v>
      </c>
      <c r="G28" s="90" t="n">
        <v>1700</v>
      </c>
      <c r="H28" s="90" t="n">
        <v>395</v>
      </c>
    </row>
    <row r="29" customFormat="false" ht="15.75" hidden="false" customHeight="true" outlineLevel="0" collapsed="false">
      <c r="A29" s="111" t="s">
        <v>207</v>
      </c>
      <c r="B29" s="90" t="n">
        <v>2</v>
      </c>
      <c r="C29" s="90" t="n">
        <v>50</v>
      </c>
      <c r="D29" s="90" t="n">
        <v>83.5</v>
      </c>
      <c r="E29" s="90" t="n">
        <v>50</v>
      </c>
      <c r="F29" s="90" t="n">
        <v>15</v>
      </c>
      <c r="G29" s="90" t="n">
        <v>1700</v>
      </c>
      <c r="H29" s="90" t="n">
        <v>395</v>
      </c>
    </row>
    <row r="30" customFormat="false" ht="15.75" hidden="false" customHeight="true" outlineLevel="0" collapsed="false">
      <c r="A30" s="111" t="s">
        <v>208</v>
      </c>
      <c r="B30" s="90" t="n">
        <v>1</v>
      </c>
      <c r="C30" s="90" t="n">
        <v>46.5</v>
      </c>
      <c r="D30" s="90" t="n">
        <v>92.5</v>
      </c>
      <c r="E30" s="90" t="n">
        <v>46</v>
      </c>
      <c r="F30" s="90" t="n">
        <v>15</v>
      </c>
      <c r="G30" s="90" t="n">
        <v>1430</v>
      </c>
      <c r="H30" s="90" t="n">
        <v>345</v>
      </c>
    </row>
    <row r="31" customFormat="false" ht="15.75" hidden="false" customHeight="true" outlineLevel="0" collapsed="false">
      <c r="A31" s="111" t="s">
        <v>209</v>
      </c>
      <c r="B31" s="90" t="n">
        <v>1</v>
      </c>
      <c r="C31" s="90" t="n">
        <v>75</v>
      </c>
      <c r="D31" s="90" t="n">
        <v>131</v>
      </c>
      <c r="E31" s="90" t="n">
        <v>70</v>
      </c>
      <c r="F31" s="90" t="n">
        <v>23</v>
      </c>
      <c r="G31" s="90" t="n">
        <v>1800</v>
      </c>
      <c r="H31" s="90" t="n">
        <v>450</v>
      </c>
    </row>
    <row r="32" customFormat="false" ht="15.75" hidden="false" customHeight="true" outlineLevel="0" collapsed="false">
      <c r="A32" s="111" t="s">
        <v>210</v>
      </c>
      <c r="B32" s="90" t="n">
        <v>1.12</v>
      </c>
      <c r="C32" s="90" t="n">
        <v>49</v>
      </c>
      <c r="D32" s="90" t="n">
        <v>95</v>
      </c>
      <c r="E32" s="90" t="n">
        <v>60</v>
      </c>
      <c r="F32" s="90" t="n">
        <v>15</v>
      </c>
      <c r="G32" s="90" t="n">
        <v>2800</v>
      </c>
      <c r="H32" s="90" t="n">
        <v>337</v>
      </c>
    </row>
    <row r="33" customFormat="false" ht="15.75" hidden="false" customHeight="true" outlineLevel="0" collapsed="false">
      <c r="A33" s="111" t="s">
        <v>211</v>
      </c>
      <c r="B33" s="90" t="n">
        <v>1.14</v>
      </c>
      <c r="C33" s="90" t="n">
        <v>64</v>
      </c>
      <c r="D33" s="90" t="n">
        <v>120</v>
      </c>
      <c r="E33" s="90" t="n">
        <v>45</v>
      </c>
      <c r="F33" s="90" t="n">
        <v>12</v>
      </c>
      <c r="G33" s="90" t="n">
        <v>2250</v>
      </c>
      <c r="H33" s="90" t="n">
        <v>271</v>
      </c>
    </row>
    <row r="34" customFormat="false" ht="15.75" hidden="false" customHeight="true" outlineLevel="0" collapsed="false">
      <c r="A34" s="111" t="s">
        <v>212</v>
      </c>
      <c r="B34" s="90" t="n">
        <v>1.5</v>
      </c>
      <c r="C34" s="90" t="n">
        <v>75</v>
      </c>
      <c r="D34" s="90" t="n">
        <v>130</v>
      </c>
      <c r="E34" s="90" t="n">
        <v>74</v>
      </c>
      <c r="F34" s="90" t="n">
        <v>15</v>
      </c>
      <c r="G34" s="90" t="n">
        <v>2500</v>
      </c>
      <c r="H34" s="90" t="n">
        <v>352</v>
      </c>
    </row>
    <row r="35" customFormat="false" ht="15.75" hidden="false" customHeight="true" outlineLevel="0" collapsed="false">
      <c r="A35" s="111" t="s">
        <v>213</v>
      </c>
      <c r="B35" s="90" t="n">
        <v>1</v>
      </c>
      <c r="C35" s="90" t="n">
        <v>43</v>
      </c>
      <c r="D35" s="90" t="n">
        <v>110</v>
      </c>
      <c r="E35" s="90" t="n">
        <v>43</v>
      </c>
      <c r="F35" s="90" t="n">
        <v>15</v>
      </c>
      <c r="G35" s="90" t="n">
        <v>1590</v>
      </c>
      <c r="H35" s="90" t="n">
        <v>275</v>
      </c>
    </row>
    <row r="36" customFormat="false" ht="15.75" hidden="false" customHeight="true" outlineLevel="0" collapsed="false">
      <c r="A36" s="111" t="s">
        <v>214</v>
      </c>
      <c r="B36" s="90" t="n">
        <v>2</v>
      </c>
      <c r="C36" s="90" t="n">
        <v>74</v>
      </c>
      <c r="D36" s="90" t="n">
        <v>200</v>
      </c>
      <c r="E36" s="90" t="n">
        <v>100</v>
      </c>
      <c r="F36" s="90" t="n">
        <v>0</v>
      </c>
      <c r="G36" s="90" t="n">
        <v>1500</v>
      </c>
      <c r="H36" s="90" t="n">
        <v>739</v>
      </c>
    </row>
    <row r="37" customFormat="false" ht="15.75" hidden="false" customHeight="true" outlineLevel="0" collapsed="false">
      <c r="A37" s="111" t="s">
        <v>215</v>
      </c>
      <c r="B37" s="90" t="n">
        <v>1.5</v>
      </c>
      <c r="C37" s="90" t="n">
        <v>60</v>
      </c>
      <c r="D37" s="90" t="n">
        <v>180</v>
      </c>
      <c r="E37" s="90" t="n">
        <v>60</v>
      </c>
      <c r="F37" s="90" t="n">
        <v>20</v>
      </c>
      <c r="G37" s="90" t="n">
        <v>1630</v>
      </c>
      <c r="H37" s="90" t="n">
        <v>436</v>
      </c>
    </row>
    <row r="38" customFormat="false" ht="15.75" hidden="false" customHeight="true" outlineLevel="0" collapsed="false">
      <c r="A38" s="111" t="s">
        <v>216</v>
      </c>
      <c r="B38" s="90" t="n">
        <v>1</v>
      </c>
      <c r="C38" s="90" t="n">
        <v>58</v>
      </c>
      <c r="D38" s="90" t="n">
        <v>130</v>
      </c>
      <c r="E38" s="90" t="n">
        <v>30</v>
      </c>
      <c r="F38" s="90" t="n">
        <v>15</v>
      </c>
      <c r="G38" s="90" t="n">
        <v>1650</v>
      </c>
      <c r="H38" s="90" t="n">
        <v>351</v>
      </c>
    </row>
    <row r="39" customFormat="false" ht="15.75" hidden="false" customHeight="true" outlineLevel="0" collapsed="false">
      <c r="A39" s="111" t="s">
        <v>217</v>
      </c>
      <c r="B39" s="90" t="n">
        <v>1</v>
      </c>
      <c r="C39" s="90" t="n">
        <v>55</v>
      </c>
      <c r="D39" s="90" t="n">
        <v>120</v>
      </c>
      <c r="E39" s="90" t="n">
        <v>33</v>
      </c>
      <c r="F39" s="90" t="n">
        <v>0</v>
      </c>
      <c r="G39" s="90" t="n">
        <v>2070</v>
      </c>
      <c r="H39" s="90" t="n">
        <v>270</v>
      </c>
    </row>
    <row r="40" customFormat="false" ht="15.75" hidden="false" customHeight="true" outlineLevel="0" collapsed="false">
      <c r="A40" s="111" t="s">
        <v>218</v>
      </c>
      <c r="B40" s="90" t="n">
        <v>1.3</v>
      </c>
      <c r="C40" s="90" t="n">
        <v>40</v>
      </c>
      <c r="D40" s="90" t="n">
        <v>174</v>
      </c>
      <c r="E40" s="90" t="n">
        <v>47</v>
      </c>
      <c r="F40" s="90" t="n">
        <v>20</v>
      </c>
      <c r="G40" s="90" t="n">
        <v>1200</v>
      </c>
      <c r="H40" s="90" t="n">
        <v>330</v>
      </c>
    </row>
    <row r="41" customFormat="false" ht="15.75" hidden="false" customHeight="true" outlineLevel="0" collapsed="false">
      <c r="A41" s="111" t="s">
        <v>219</v>
      </c>
      <c r="B41" s="90" t="n">
        <v>1.5</v>
      </c>
      <c r="C41" s="90" t="n">
        <v>100</v>
      </c>
      <c r="D41" s="90" t="n">
        <v>118</v>
      </c>
      <c r="E41" s="90" t="n">
        <v>67</v>
      </c>
      <c r="F41" s="90" t="n">
        <v>24</v>
      </c>
      <c r="G41" s="90" t="n">
        <v>1280</v>
      </c>
      <c r="H41" s="90" t="n">
        <v>340</v>
      </c>
    </row>
    <row r="42" customFormat="false" ht="15.75" hidden="false" customHeight="true" outlineLevel="0" collapsed="false">
      <c r="A42" s="111" t="s">
        <v>220</v>
      </c>
      <c r="B42" s="90" t="n">
        <v>1.5</v>
      </c>
      <c r="C42" s="90" t="n">
        <v>94</v>
      </c>
      <c r="D42" s="90" t="n">
        <v>140</v>
      </c>
      <c r="E42" s="90" t="n">
        <v>64</v>
      </c>
      <c r="F42" s="90" t="n">
        <v>0</v>
      </c>
      <c r="G42" s="90" t="n">
        <v>1900</v>
      </c>
      <c r="H42" s="90" t="n">
        <v>393</v>
      </c>
    </row>
    <row r="43" customFormat="false" ht="15.75" hidden="false" customHeight="true" outlineLevel="0" collapsed="false">
      <c r="A43" s="111" t="s">
        <v>221</v>
      </c>
      <c r="B43" s="90" t="n">
        <v>1</v>
      </c>
      <c r="C43" s="90" t="n">
        <v>65</v>
      </c>
      <c r="D43" s="90" t="n">
        <v>140</v>
      </c>
      <c r="E43" s="90" t="n">
        <v>28</v>
      </c>
      <c r="F43" s="90" t="n">
        <v>0</v>
      </c>
      <c r="G43" s="90" t="n">
        <v>2100</v>
      </c>
      <c r="H43" s="90" t="n">
        <v>350</v>
      </c>
    </row>
    <row r="44" customFormat="false" ht="15.75" hidden="false" customHeight="true" outlineLevel="0" collapsed="false">
      <c r="A44" s="111" t="s">
        <v>222</v>
      </c>
      <c r="B44" s="90" t="n">
        <v>1.31</v>
      </c>
      <c r="C44" s="90" t="n">
        <v>66</v>
      </c>
      <c r="D44" s="90" t="n">
        <v>150</v>
      </c>
      <c r="E44" s="90" t="n">
        <v>49</v>
      </c>
      <c r="F44" s="90" t="n">
        <v>0</v>
      </c>
      <c r="G44" s="90" t="n">
        <v>1500</v>
      </c>
      <c r="H44" s="90" t="n">
        <v>350</v>
      </c>
    </row>
    <row r="45" customFormat="false" ht="15.75" hidden="false" customHeight="true" outlineLevel="0" collapsed="false">
      <c r="A45" s="111" t="s">
        <v>223</v>
      </c>
      <c r="B45" s="90" t="n">
        <v>1</v>
      </c>
      <c r="C45" s="90" t="n">
        <v>41</v>
      </c>
      <c r="D45" s="90" t="n">
        <v>130</v>
      </c>
      <c r="E45" s="90" t="n">
        <v>40</v>
      </c>
      <c r="F45" s="90" t="n">
        <v>0</v>
      </c>
      <c r="G45" s="90" t="n">
        <v>1100</v>
      </c>
      <c r="H45" s="90" t="n">
        <v>260</v>
      </c>
    </row>
    <row r="46" customFormat="false" ht="15.75" hidden="false" customHeight="true" outlineLevel="0" collapsed="false">
      <c r="A46" s="111" t="s">
        <v>224</v>
      </c>
      <c r="B46" s="90" t="n">
        <v>1</v>
      </c>
      <c r="C46" s="90" t="n">
        <v>92</v>
      </c>
      <c r="D46" s="90" t="n">
        <v>72</v>
      </c>
      <c r="E46" s="90" t="n">
        <v>38</v>
      </c>
      <c r="F46" s="90" t="n">
        <v>5</v>
      </c>
      <c r="G46" s="90" t="n">
        <v>1500</v>
      </c>
      <c r="H46" s="90" t="n">
        <v>266</v>
      </c>
    </row>
    <row r="47" customFormat="false" ht="15.75" hidden="false" customHeight="true" outlineLevel="0" collapsed="false">
      <c r="A47" s="111" t="s">
        <v>225</v>
      </c>
      <c r="B47" s="90" t="n">
        <v>1.5</v>
      </c>
      <c r="C47" s="90" t="n">
        <v>68</v>
      </c>
      <c r="D47" s="90" t="n">
        <v>180</v>
      </c>
      <c r="E47" s="90" t="n">
        <v>56</v>
      </c>
      <c r="F47" s="90" t="n">
        <v>0</v>
      </c>
      <c r="G47" s="90" t="n">
        <v>2150</v>
      </c>
      <c r="H47" s="90" t="n">
        <v>436</v>
      </c>
    </row>
    <row r="48" customFormat="false" ht="15.75" hidden="false" customHeight="true" outlineLevel="0" collapsed="false">
      <c r="A48" s="111" t="s">
        <v>226</v>
      </c>
      <c r="B48" s="90" t="n">
        <v>1</v>
      </c>
      <c r="C48" s="90" t="n">
        <v>45</v>
      </c>
      <c r="D48" s="90" t="n">
        <v>90</v>
      </c>
      <c r="E48" s="90" t="n">
        <v>28</v>
      </c>
      <c r="F48" s="90" t="n">
        <v>0</v>
      </c>
      <c r="G48" s="90" t="n">
        <v>2000</v>
      </c>
      <c r="H48" s="90" t="n">
        <v>300</v>
      </c>
    </row>
    <row r="49" customFormat="false" ht="15.75" hidden="false" customHeight="true" outlineLevel="0" collapsed="false">
      <c r="A49" s="111" t="s">
        <v>227</v>
      </c>
      <c r="B49" s="90" t="n">
        <v>1.33</v>
      </c>
      <c r="C49" s="90" t="n">
        <v>67</v>
      </c>
      <c r="D49" s="90" t="n">
        <v>183</v>
      </c>
      <c r="E49" s="90" t="n">
        <v>37</v>
      </c>
      <c r="F49" s="90" t="n">
        <v>0</v>
      </c>
      <c r="G49" s="90" t="n">
        <v>2600</v>
      </c>
      <c r="H49" s="90" t="n">
        <v>370</v>
      </c>
    </row>
    <row r="50" customFormat="false" ht="15.75" hidden="false" customHeight="true" outlineLevel="0" collapsed="false">
      <c r="A50" s="111" t="s">
        <v>228</v>
      </c>
      <c r="B50" s="90" t="n">
        <v>1</v>
      </c>
      <c r="C50" s="90" t="n">
        <v>36</v>
      </c>
      <c r="D50" s="90" t="n">
        <v>126</v>
      </c>
      <c r="E50" s="90" t="n">
        <v>100</v>
      </c>
      <c r="F50" s="90" t="n">
        <v>0</v>
      </c>
      <c r="G50" s="90" t="n">
        <v>8360</v>
      </c>
      <c r="H50" s="90" t="n">
        <v>326</v>
      </c>
    </row>
    <row r="51" customFormat="false" ht="15.75" hidden="false" customHeight="true" outlineLevel="0" collapsed="false">
      <c r="A51" s="111" t="s">
        <v>229</v>
      </c>
      <c r="B51" s="90" t="n">
        <v>1</v>
      </c>
      <c r="C51" s="90" t="n">
        <v>40</v>
      </c>
      <c r="D51" s="90" t="n">
        <v>180</v>
      </c>
      <c r="E51" s="90" t="n">
        <v>170</v>
      </c>
      <c r="F51" s="90" t="n">
        <v>0</v>
      </c>
      <c r="G51" s="90" t="n">
        <v>1500</v>
      </c>
      <c r="H51" s="90" t="n">
        <v>455</v>
      </c>
    </row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B4B4"/>
    <pageSetUpPr fitToPage="false"/>
  </sheetPr>
  <dimension ref="A2:N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1" width="16.33"/>
    <col collapsed="false" customWidth="true" hidden="false" outlineLevel="0" max="3" min="2" style="1" width="8.67"/>
    <col collapsed="false" customWidth="true" hidden="false" outlineLevel="0" max="4" min="4" style="1" width="16.33"/>
    <col collapsed="false" customWidth="true" hidden="false" outlineLevel="0" max="6" min="5" style="1" width="8.67"/>
    <col collapsed="false" customWidth="true" hidden="false" outlineLevel="0" max="7" min="7" style="1" width="16.33"/>
    <col collapsed="false" customWidth="true" hidden="false" outlineLevel="0" max="9" min="8" style="1" width="8.67"/>
    <col collapsed="false" customWidth="true" hidden="false" outlineLevel="0" max="10" min="10" style="1" width="16.33"/>
    <col collapsed="false" customWidth="true" hidden="false" outlineLevel="0" max="12" min="11" style="1" width="8.67"/>
    <col collapsed="false" customWidth="true" hidden="false" outlineLevel="0" max="13" min="13" style="1" width="16.33"/>
    <col collapsed="false" customWidth="true" hidden="false" outlineLevel="0" max="26" min="14" style="1" width="8.67"/>
  </cols>
  <sheetData>
    <row r="2" customFormat="false" ht="15" hidden="false" customHeight="false" outlineLevel="0" collapsed="false">
      <c r="G2" s="49" t="s">
        <v>349</v>
      </c>
      <c r="H2" s="8" t="n">
        <f aca="false">(B23+E23+H23+K23+N23)/5</f>
        <v>35</v>
      </c>
    </row>
    <row r="15" customFormat="false" ht="15" hidden="false" customHeight="false" outlineLevel="0" collapsed="false">
      <c r="A15" s="5" t="s">
        <v>350</v>
      </c>
      <c r="D15" s="5" t="s">
        <v>351</v>
      </c>
      <c r="G15" s="5" t="s">
        <v>352</v>
      </c>
      <c r="J15" s="5" t="s">
        <v>353</v>
      </c>
      <c r="M15" s="5" t="s">
        <v>354</v>
      </c>
    </row>
    <row r="16" customFormat="false" ht="15" hidden="false" customHeight="false" outlineLevel="0" collapsed="false">
      <c r="A16" s="46" t="s">
        <v>355</v>
      </c>
      <c r="B16" s="46"/>
      <c r="D16" s="46" t="s">
        <v>355</v>
      </c>
      <c r="E16" s="46"/>
      <c r="G16" s="46" t="s">
        <v>355</v>
      </c>
      <c r="H16" s="46"/>
      <c r="J16" s="46" t="s">
        <v>355</v>
      </c>
      <c r="K16" s="46"/>
      <c r="M16" s="46" t="s">
        <v>355</v>
      </c>
      <c r="N16" s="46"/>
    </row>
    <row r="17" customFormat="false" ht="15" hidden="false" customHeight="false" outlineLevel="0" collapsed="false">
      <c r="A17" s="74" t="s">
        <v>356</v>
      </c>
      <c r="B17" s="4" t="n">
        <v>25</v>
      </c>
      <c r="D17" s="74" t="s">
        <v>356</v>
      </c>
      <c r="E17" s="4" t="n">
        <v>25</v>
      </c>
      <c r="G17" s="74" t="s">
        <v>356</v>
      </c>
      <c r="H17" s="4" t="n">
        <v>25</v>
      </c>
      <c r="J17" s="74" t="s">
        <v>356</v>
      </c>
      <c r="K17" s="4" t="n">
        <v>25</v>
      </c>
      <c r="M17" s="74" t="s">
        <v>356</v>
      </c>
      <c r="N17" s="4" t="n">
        <v>25</v>
      </c>
    </row>
    <row r="18" customFormat="false" ht="15" hidden="false" customHeight="false" outlineLevel="0" collapsed="false">
      <c r="A18" s="74" t="s">
        <v>357</v>
      </c>
      <c r="B18" s="4" t="n">
        <v>50</v>
      </c>
      <c r="D18" s="74" t="s">
        <v>357</v>
      </c>
      <c r="E18" s="4" t="n">
        <v>25</v>
      </c>
      <c r="G18" s="74" t="s">
        <v>357</v>
      </c>
      <c r="H18" s="4" t="n">
        <v>25</v>
      </c>
      <c r="J18" s="74" t="s">
        <v>357</v>
      </c>
      <c r="K18" s="4" t="n">
        <v>25</v>
      </c>
      <c r="M18" s="74" t="s">
        <v>357</v>
      </c>
      <c r="N18" s="4" t="n">
        <v>25</v>
      </c>
    </row>
    <row r="19" customFormat="false" ht="15" hidden="false" customHeight="false" outlineLevel="0" collapsed="false">
      <c r="A19" s="74" t="s">
        <v>358</v>
      </c>
      <c r="B19" s="4" t="n">
        <v>75</v>
      </c>
      <c r="D19" s="74" t="s">
        <v>358</v>
      </c>
      <c r="E19" s="4" t="n">
        <v>50</v>
      </c>
      <c r="G19" s="74" t="s">
        <v>358</v>
      </c>
      <c r="H19" s="4" t="n">
        <v>50</v>
      </c>
      <c r="J19" s="74" t="s">
        <v>358</v>
      </c>
      <c r="K19" s="4" t="n">
        <v>50</v>
      </c>
      <c r="M19" s="74" t="s">
        <v>358</v>
      </c>
      <c r="N19" s="4" t="n">
        <v>50</v>
      </c>
    </row>
    <row r="20" customFormat="false" ht="15" hidden="false" customHeight="false" outlineLevel="0" collapsed="false">
      <c r="A20" s="74" t="s">
        <v>359</v>
      </c>
      <c r="B20" s="4" t="n">
        <v>25</v>
      </c>
      <c r="D20" s="74" t="s">
        <v>359</v>
      </c>
      <c r="E20" s="4" t="n">
        <v>25</v>
      </c>
      <c r="G20" s="74" t="s">
        <v>359</v>
      </c>
      <c r="H20" s="4" t="n">
        <v>25</v>
      </c>
      <c r="J20" s="74" t="s">
        <v>359</v>
      </c>
      <c r="K20" s="4" t="n">
        <v>25</v>
      </c>
      <c r="M20" s="74" t="s">
        <v>359</v>
      </c>
      <c r="N20" s="4" t="n">
        <v>25</v>
      </c>
    </row>
    <row r="21" customFormat="false" ht="15.75" hidden="false" customHeight="true" outlineLevel="0" collapsed="false">
      <c r="A21" s="74" t="s">
        <v>360</v>
      </c>
      <c r="B21" s="4" t="n">
        <v>50</v>
      </c>
      <c r="D21" s="74" t="s">
        <v>360</v>
      </c>
      <c r="E21" s="4" t="n">
        <v>75</v>
      </c>
      <c r="G21" s="74" t="s">
        <v>360</v>
      </c>
      <c r="H21" s="4" t="n">
        <v>75</v>
      </c>
      <c r="J21" s="74" t="s">
        <v>360</v>
      </c>
      <c r="K21" s="4" t="n">
        <v>75</v>
      </c>
      <c r="M21" s="74" t="s">
        <v>360</v>
      </c>
      <c r="N21" s="4" t="n">
        <v>75</v>
      </c>
    </row>
    <row r="22" customFormat="false" ht="15.75" hidden="false" customHeight="true" outlineLevel="0" collapsed="false">
      <c r="A22" s="74" t="s">
        <v>361</v>
      </c>
      <c r="B22" s="4" t="n">
        <v>25</v>
      </c>
      <c r="D22" s="74" t="s">
        <v>361</v>
      </c>
      <c r="E22" s="4" t="n">
        <v>0</v>
      </c>
      <c r="G22" s="74" t="s">
        <v>361</v>
      </c>
      <c r="H22" s="4" t="n">
        <v>0</v>
      </c>
      <c r="J22" s="74" t="s">
        <v>361</v>
      </c>
      <c r="K22" s="4" t="n">
        <v>0</v>
      </c>
      <c r="M22" s="74" t="s">
        <v>361</v>
      </c>
      <c r="N22" s="4" t="n">
        <v>0</v>
      </c>
    </row>
    <row r="23" customFormat="false" ht="15.75" hidden="false" customHeight="true" outlineLevel="0" collapsed="false">
      <c r="A23" s="134" t="s">
        <v>362</v>
      </c>
      <c r="B23" s="125" t="n">
        <f aca="false">AVERAGE(B17:B22)</f>
        <v>41.6666666666667</v>
      </c>
      <c r="D23" s="134" t="s">
        <v>362</v>
      </c>
      <c r="E23" s="125" t="n">
        <f aca="false">AVERAGE(E17:E22)</f>
        <v>33.3333333333333</v>
      </c>
      <c r="G23" s="134" t="s">
        <v>362</v>
      </c>
      <c r="H23" s="125" t="n">
        <f aca="false">AVERAGE(H17:H22)</f>
        <v>33.3333333333333</v>
      </c>
      <c r="J23" s="134" t="s">
        <v>362</v>
      </c>
      <c r="K23" s="125" t="n">
        <f aca="false">AVERAGE(K17:K22)</f>
        <v>33.3333333333333</v>
      </c>
      <c r="M23" s="134" t="s">
        <v>362</v>
      </c>
      <c r="N23" s="125" t="n">
        <f aca="false">AVERAGE(N17:N22)</f>
        <v>33.3333333333333</v>
      </c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">
    <mergeCell ref="A16:B16"/>
    <mergeCell ref="D16:E16"/>
    <mergeCell ref="G16:H16"/>
    <mergeCell ref="J16:K16"/>
    <mergeCell ref="M16:N1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EFD9"/>
    <pageSetUpPr fitToPage="fals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customHeight="true" zeroHeight="false" outlineLevelRow="0" outlineLevelCol="0"/>
  <cols>
    <col collapsed="false" customWidth="true" hidden="false" outlineLevel="0" max="2" min="1" style="1" width="20.66"/>
    <col collapsed="false" customWidth="true" hidden="false" outlineLevel="0" max="3" min="3" style="1" width="24.88"/>
    <col collapsed="false" customWidth="true" hidden="false" outlineLevel="0" max="4" min="4" style="1" width="12.88"/>
    <col collapsed="false" customWidth="true" hidden="false" outlineLevel="0" max="5" min="5" style="1" width="11.33"/>
    <col collapsed="false" customWidth="true" hidden="false" outlineLevel="0" max="26" min="6" style="1" width="8.67"/>
  </cols>
  <sheetData>
    <row r="1" customFormat="false" ht="15" hidden="false" customHeight="false" outlineLevel="0" collapsed="false">
      <c r="A1" s="46" t="s">
        <v>363</v>
      </c>
      <c r="B1" s="46"/>
      <c r="C1" s="46"/>
      <c r="D1" s="46"/>
      <c r="E1" s="46"/>
    </row>
    <row r="2" customFormat="false" ht="15" hidden="false" customHeight="false" outlineLevel="0" collapsed="false">
      <c r="A2" s="78" t="s">
        <v>364</v>
      </c>
      <c r="B2" s="78" t="s">
        <v>365</v>
      </c>
      <c r="C2" s="78" t="s">
        <v>366</v>
      </c>
      <c r="D2" s="78" t="s">
        <v>367</v>
      </c>
      <c r="E2" s="78" t="s">
        <v>368</v>
      </c>
    </row>
    <row r="3" customFormat="false" ht="15" hidden="false" customHeight="false" outlineLevel="0" collapsed="false">
      <c r="A3" s="13" t="s">
        <v>369</v>
      </c>
      <c r="B3" s="13" t="n">
        <v>15023</v>
      </c>
      <c r="C3" s="13" t="n">
        <v>995</v>
      </c>
      <c r="D3" s="13" t="n">
        <v>1150</v>
      </c>
      <c r="E3" s="8" t="n">
        <f aca="false">C3*100/D3</f>
        <v>86.5217391304348</v>
      </c>
    </row>
    <row r="4" customFormat="false" ht="15" hidden="false" customHeight="false" outlineLevel="0" collapsed="false">
      <c r="C4" s="13" t="n">
        <v>1100</v>
      </c>
      <c r="D4" s="13" t="n">
        <v>1350</v>
      </c>
      <c r="E4" s="8" t="n">
        <f aca="false">C4*100/D4</f>
        <v>81.4814814814815</v>
      </c>
    </row>
    <row r="5" customFormat="false" ht="15" hidden="false" customHeight="false" outlineLevel="0" collapsed="false">
      <c r="E5" s="8" t="e">
        <f aca="false">C5*100/D5</f>
        <v>#DIV/0!</v>
      </c>
    </row>
    <row r="6" customFormat="false" ht="15" hidden="false" customHeight="false" outlineLevel="0" collapsed="false">
      <c r="C6" s="13" t="n">
        <v>990</v>
      </c>
      <c r="D6" s="13" t="n">
        <v>1110</v>
      </c>
      <c r="E6" s="8" t="n">
        <f aca="false">C6*100/D6</f>
        <v>89.1891891891892</v>
      </c>
    </row>
    <row r="7" customFormat="false" ht="15" hidden="false" customHeight="false" outlineLevel="0" collapsed="false">
      <c r="E7" s="8" t="e">
        <f aca="false">C7*100/D7</f>
        <v>#DIV/0!</v>
      </c>
    </row>
    <row r="8" customFormat="false" ht="15" hidden="false" customHeight="false" outlineLevel="0" collapsed="false">
      <c r="E8" s="8" t="e">
        <f aca="false">C8*100/D8</f>
        <v>#DIV/0!</v>
      </c>
    </row>
    <row r="9" customFormat="false" ht="15" hidden="false" customHeight="false" outlineLevel="0" collapsed="false">
      <c r="E9" s="8" t="e">
        <f aca="false">C9*100/D9</f>
        <v>#DIV/0!</v>
      </c>
    </row>
    <row r="10" customFormat="false" ht="15" hidden="false" customHeight="false" outlineLevel="0" collapsed="false">
      <c r="E10" s="8" t="e">
        <f aca="false">C10*100/D10</f>
        <v>#DIV/0!</v>
      </c>
    </row>
    <row r="11" customFormat="false" ht="15" hidden="false" customHeight="false" outlineLevel="0" collapsed="false">
      <c r="E11" s="8" t="e">
        <f aca="false">C11*100/D11</f>
        <v>#DIV/0!</v>
      </c>
    </row>
    <row r="12" customFormat="false" ht="15" hidden="false" customHeight="false" outlineLevel="0" collapsed="false">
      <c r="E12" s="8" t="e">
        <f aca="false">C12*100/D12</f>
        <v>#DIV/0!</v>
      </c>
    </row>
    <row r="13" customFormat="false" ht="15" hidden="false" customHeight="false" outlineLevel="0" collapsed="false">
      <c r="E13" s="8" t="e">
        <f aca="false">C13*100/D13</f>
        <v>#DIV/0!</v>
      </c>
    </row>
    <row r="14" customFormat="false" ht="15" hidden="false" customHeight="false" outlineLevel="0" collapsed="false">
      <c r="E14" s="8" t="e">
        <f aca="false">C14*100/D14</f>
        <v>#DIV/0!</v>
      </c>
    </row>
    <row r="15" customFormat="false" ht="15" hidden="false" customHeight="false" outlineLevel="0" collapsed="false">
      <c r="E15" s="8" t="e">
        <f aca="false">C15*100/D15</f>
        <v>#DIV/0!</v>
      </c>
    </row>
    <row r="16" customFormat="false" ht="15" hidden="false" customHeight="false" outlineLevel="0" collapsed="false">
      <c r="E16" s="8" t="e">
        <f aca="false">C16*100/D16</f>
        <v>#DIV/0!</v>
      </c>
    </row>
    <row r="17" customFormat="false" ht="15" hidden="false" customHeight="false" outlineLevel="0" collapsed="false">
      <c r="E17" s="8" t="e">
        <f aca="false">C17*100/D17</f>
        <v>#DIV/0!</v>
      </c>
    </row>
    <row r="18" customFormat="false" ht="15" hidden="false" customHeight="false" outlineLevel="0" collapsed="false">
      <c r="E18" s="8" t="e">
        <f aca="false">C18*100/D18</f>
        <v>#DIV/0!</v>
      </c>
    </row>
    <row r="19" customFormat="false" ht="15" hidden="false" customHeight="false" outlineLevel="0" collapsed="false">
      <c r="E19" s="8" t="e">
        <f aca="false">C19*100/D19</f>
        <v>#DIV/0!</v>
      </c>
    </row>
    <row r="20" customFormat="false" ht="15" hidden="false" customHeight="false" outlineLevel="0" collapsed="false">
      <c r="E20" s="8" t="e">
        <f aca="false">C20*100/D20</f>
        <v>#DIV/0!</v>
      </c>
    </row>
    <row r="21" customFormat="false" ht="15.75" hidden="false" customHeight="true" outlineLevel="0" collapsed="false">
      <c r="E21" s="8" t="e">
        <f aca="false">C21*100/D21</f>
        <v>#DIV/0!</v>
      </c>
    </row>
    <row r="22" customFormat="false" ht="15.75" hidden="false" customHeight="true" outlineLevel="0" collapsed="false">
      <c r="E22" s="8" t="e">
        <f aca="false">C22*100/D22</f>
        <v>#DIV/0!</v>
      </c>
    </row>
    <row r="23" customFormat="false" ht="15.75" hidden="false" customHeight="true" outlineLevel="0" collapsed="false">
      <c r="E23" s="8" t="e">
        <f aca="false">C23*100/D23</f>
        <v>#DIV/0!</v>
      </c>
    </row>
    <row r="24" customFormat="false" ht="15.75" hidden="false" customHeight="true" outlineLevel="0" collapsed="false">
      <c r="E24" s="8" t="e">
        <f aca="false">C24*100/D24</f>
        <v>#DIV/0!</v>
      </c>
    </row>
    <row r="25" customFormat="false" ht="15.75" hidden="false" customHeight="true" outlineLevel="0" collapsed="false">
      <c r="E25" s="8" t="e">
        <f aca="false">C25*100/D25</f>
        <v>#DIV/0!</v>
      </c>
    </row>
    <row r="26" customFormat="false" ht="15.75" hidden="false" customHeight="true" outlineLevel="0" collapsed="false">
      <c r="E26" s="8" t="e">
        <f aca="false">C26*100/D26</f>
        <v>#DIV/0!</v>
      </c>
    </row>
    <row r="27" customFormat="false" ht="15.75" hidden="false" customHeight="true" outlineLevel="0" collapsed="false">
      <c r="E27" s="8" t="e">
        <f aca="false">C27*100/D27</f>
        <v>#DIV/0!</v>
      </c>
    </row>
    <row r="28" customFormat="false" ht="15.75" hidden="false" customHeight="true" outlineLevel="0" collapsed="false">
      <c r="E28" s="8" t="e">
        <f aca="false">C28*100/D28</f>
        <v>#DIV/0!</v>
      </c>
    </row>
    <row r="29" customFormat="false" ht="15.75" hidden="false" customHeight="true" outlineLevel="0" collapsed="false">
      <c r="E29" s="8" t="e">
        <f aca="false">C29*100/D29</f>
        <v>#DIV/0!</v>
      </c>
    </row>
    <row r="30" customFormat="false" ht="15.75" hidden="false" customHeight="true" outlineLevel="0" collapsed="false">
      <c r="E30" s="8" t="e">
        <f aca="false">C30*100/D30</f>
        <v>#DIV/0!</v>
      </c>
    </row>
    <row r="31" customFormat="false" ht="15.75" hidden="false" customHeight="true" outlineLevel="0" collapsed="false">
      <c r="E31" s="8" t="e">
        <f aca="false">C31*100/D31</f>
        <v>#DIV/0!</v>
      </c>
    </row>
    <row r="32" customFormat="false" ht="15.75" hidden="false" customHeight="true" outlineLevel="0" collapsed="false">
      <c r="E32" s="8" t="e">
        <f aca="false">C32*100/D32</f>
        <v>#DIV/0!</v>
      </c>
    </row>
    <row r="33" customFormat="false" ht="15.75" hidden="false" customHeight="true" outlineLevel="0" collapsed="false">
      <c r="E33" s="8" t="e">
        <f aca="false">C33*100/D33</f>
        <v>#DIV/0!</v>
      </c>
    </row>
    <row r="34" customFormat="false" ht="15.75" hidden="false" customHeight="true" outlineLevel="0" collapsed="false">
      <c r="E34" s="8" t="e">
        <f aca="false">C34*100/D34</f>
        <v>#DIV/0!</v>
      </c>
    </row>
    <row r="35" customFormat="false" ht="15.75" hidden="false" customHeight="true" outlineLevel="0" collapsed="false">
      <c r="E35" s="8" t="e">
        <f aca="false">C35*100/D35</f>
        <v>#DIV/0!</v>
      </c>
    </row>
    <row r="36" customFormat="false" ht="15.75" hidden="false" customHeight="true" outlineLevel="0" collapsed="false">
      <c r="E36" s="8" t="e">
        <f aca="false">C36*100/D36</f>
        <v>#DIV/0!</v>
      </c>
    </row>
    <row r="37" customFormat="false" ht="15.75" hidden="false" customHeight="true" outlineLevel="0" collapsed="false">
      <c r="E37" s="8" t="e">
        <f aca="false">C37*100/D37</f>
        <v>#DIV/0!</v>
      </c>
    </row>
    <row r="38" customFormat="false" ht="15.75" hidden="false" customHeight="true" outlineLevel="0" collapsed="false">
      <c r="E38" s="8" t="e">
        <f aca="false">C38*100/D38</f>
        <v>#DIV/0!</v>
      </c>
    </row>
    <row r="39" customFormat="false" ht="15.75" hidden="false" customHeight="true" outlineLevel="0" collapsed="false">
      <c r="E39" s="8" t="e">
        <f aca="false">C39*100/D39</f>
        <v>#DIV/0!</v>
      </c>
    </row>
    <row r="40" customFormat="false" ht="15.75" hidden="false" customHeight="true" outlineLevel="0" collapsed="false">
      <c r="E40" s="8" t="e">
        <f aca="false">C40*100/D40</f>
        <v>#DIV/0!</v>
      </c>
    </row>
    <row r="41" customFormat="false" ht="15.75" hidden="false" customHeight="true" outlineLevel="0" collapsed="false">
      <c r="E41" s="8" t="e">
        <f aca="false">C41*100/D41</f>
        <v>#DIV/0!</v>
      </c>
    </row>
    <row r="42" customFormat="false" ht="15.75" hidden="false" customHeight="true" outlineLevel="0" collapsed="false">
      <c r="E42" s="8" t="e">
        <f aca="false">C42*100/D42</f>
        <v>#DIV/0!</v>
      </c>
    </row>
    <row r="43" customFormat="false" ht="15.75" hidden="false" customHeight="true" outlineLevel="0" collapsed="false">
      <c r="E43" s="8" t="e">
        <f aca="false">C43*100/D43</f>
        <v>#DIV/0!</v>
      </c>
    </row>
    <row r="44" customFormat="false" ht="15.75" hidden="false" customHeight="true" outlineLevel="0" collapsed="false">
      <c r="E44" s="8" t="e">
        <f aca="false">C44*100/D44</f>
        <v>#DIV/0!</v>
      </c>
    </row>
    <row r="45" customFormat="false" ht="15.75" hidden="false" customHeight="true" outlineLevel="0" collapsed="false">
      <c r="E45" s="8" t="e">
        <f aca="false">C45*100/D45</f>
        <v>#DIV/0!</v>
      </c>
    </row>
    <row r="46" customFormat="false" ht="15.75" hidden="false" customHeight="true" outlineLevel="0" collapsed="false">
      <c r="E46" s="8" t="e">
        <f aca="false">C46*100/D46</f>
        <v>#DIV/0!</v>
      </c>
    </row>
    <row r="47" customFormat="false" ht="15.75" hidden="false" customHeight="true" outlineLevel="0" collapsed="false">
      <c r="E47" s="8" t="e">
        <f aca="false">C47*100/D47</f>
        <v>#DIV/0!</v>
      </c>
    </row>
    <row r="48" customFormat="false" ht="15.75" hidden="false" customHeight="true" outlineLevel="0" collapsed="false">
      <c r="E48" s="8" t="e">
        <f aca="false">C48*100/D48</f>
        <v>#DIV/0!</v>
      </c>
    </row>
    <row r="49" customFormat="false" ht="15.75" hidden="false" customHeight="true" outlineLevel="0" collapsed="false">
      <c r="E49" s="8" t="e">
        <f aca="false">C49*100/D49</f>
        <v>#DIV/0!</v>
      </c>
    </row>
    <row r="50" customFormat="false" ht="15.75" hidden="false" customHeight="true" outlineLevel="0" collapsed="false">
      <c r="E50" s="8" t="e">
        <f aca="false">C50*100/D50</f>
        <v>#DIV/0!</v>
      </c>
    </row>
    <row r="51" customFormat="false" ht="15.75" hidden="false" customHeight="true" outlineLevel="0" collapsed="false">
      <c r="E51" s="8" t="e">
        <f aca="false">C51*100/D51</f>
        <v>#DIV/0!</v>
      </c>
    </row>
    <row r="52" customFormat="false" ht="15.75" hidden="false" customHeight="true" outlineLevel="0" collapsed="false">
      <c r="E52" s="8" t="e">
        <f aca="false">C52*100/D52</f>
        <v>#DIV/0!</v>
      </c>
    </row>
    <row r="53" customFormat="false" ht="15.75" hidden="false" customHeight="true" outlineLevel="0" collapsed="false">
      <c r="E53" s="8" t="e">
        <f aca="false">C53*100/D53</f>
        <v>#DIV/0!</v>
      </c>
    </row>
    <row r="54" customFormat="false" ht="15.75" hidden="false" customHeight="true" outlineLevel="0" collapsed="false">
      <c r="E54" s="8" t="e">
        <f aca="false">C54*100/D54</f>
        <v>#DIV/0!</v>
      </c>
    </row>
    <row r="55" customFormat="false" ht="15.75" hidden="false" customHeight="true" outlineLevel="0" collapsed="false">
      <c r="E55" s="8" t="e">
        <f aca="false">C55*100/D55</f>
        <v>#DIV/0!</v>
      </c>
    </row>
    <row r="56" customFormat="false" ht="15.75" hidden="false" customHeight="true" outlineLevel="0" collapsed="false">
      <c r="E56" s="8" t="e">
        <f aca="false">C56*100/D56</f>
        <v>#DIV/0!</v>
      </c>
    </row>
    <row r="57" customFormat="false" ht="15.75" hidden="false" customHeight="true" outlineLevel="0" collapsed="false">
      <c r="E57" s="8" t="e">
        <f aca="false">C57*100/D57</f>
        <v>#DIV/0!</v>
      </c>
    </row>
    <row r="58" customFormat="false" ht="15.75" hidden="false" customHeight="true" outlineLevel="0" collapsed="false">
      <c r="E58" s="8" t="e">
        <f aca="false">C58*100/D58</f>
        <v>#DIV/0!</v>
      </c>
    </row>
    <row r="59" customFormat="false" ht="15.75" hidden="false" customHeight="true" outlineLevel="0" collapsed="false">
      <c r="E59" s="8" t="e">
        <f aca="false">C59*100/D59</f>
        <v>#DIV/0!</v>
      </c>
    </row>
    <row r="60" customFormat="false" ht="15.75" hidden="false" customHeight="true" outlineLevel="0" collapsed="false">
      <c r="E60" s="8" t="e">
        <f aca="false">C60*100/D60</f>
        <v>#DIV/0!</v>
      </c>
    </row>
    <row r="61" customFormat="false" ht="15.75" hidden="false" customHeight="true" outlineLevel="0" collapsed="false">
      <c r="E61" s="8" t="e">
        <f aca="false">C61*100/D61</f>
        <v>#DIV/0!</v>
      </c>
    </row>
    <row r="62" customFormat="false" ht="15.75" hidden="false" customHeight="true" outlineLevel="0" collapsed="false">
      <c r="E62" s="8" t="e">
        <f aca="false">C62*100/D62</f>
        <v>#DIV/0!</v>
      </c>
    </row>
    <row r="63" customFormat="false" ht="15.75" hidden="false" customHeight="true" outlineLevel="0" collapsed="false">
      <c r="E63" s="8" t="e">
        <f aca="false">C63*100/D63</f>
        <v>#DIV/0!</v>
      </c>
    </row>
    <row r="64" customFormat="false" ht="15.75" hidden="false" customHeight="true" outlineLevel="0" collapsed="false">
      <c r="E64" s="8" t="e">
        <f aca="false">C64*100/D64</f>
        <v>#DIV/0!</v>
      </c>
    </row>
    <row r="65" customFormat="false" ht="15.75" hidden="false" customHeight="true" outlineLevel="0" collapsed="false">
      <c r="E65" s="8" t="e">
        <f aca="false">C65*100/D65</f>
        <v>#DIV/0!</v>
      </c>
    </row>
    <row r="66" customFormat="false" ht="15.75" hidden="false" customHeight="true" outlineLevel="0" collapsed="false">
      <c r="E66" s="8" t="e">
        <f aca="false">C66*100/D66</f>
        <v>#DIV/0!</v>
      </c>
    </row>
    <row r="67" customFormat="false" ht="15.75" hidden="false" customHeight="true" outlineLevel="0" collapsed="false">
      <c r="E67" s="8" t="e">
        <f aca="false">C67*100/D67</f>
        <v>#DIV/0!</v>
      </c>
    </row>
    <row r="68" customFormat="false" ht="15.75" hidden="false" customHeight="true" outlineLevel="0" collapsed="false">
      <c r="E68" s="8" t="e">
        <f aca="false">C68*100/D68</f>
        <v>#DIV/0!</v>
      </c>
    </row>
    <row r="69" customFormat="false" ht="15.75" hidden="false" customHeight="true" outlineLevel="0" collapsed="false">
      <c r="E69" s="8" t="e">
        <f aca="false">C69*100/D69</f>
        <v>#DIV/0!</v>
      </c>
    </row>
    <row r="70" customFormat="false" ht="15.75" hidden="false" customHeight="true" outlineLevel="0" collapsed="false">
      <c r="E70" s="8" t="e">
        <f aca="false">C70*100/D70</f>
        <v>#DIV/0!</v>
      </c>
    </row>
    <row r="71" customFormat="false" ht="15.75" hidden="false" customHeight="true" outlineLevel="0" collapsed="false">
      <c r="E71" s="8" t="e">
        <f aca="false">C71*100/D71</f>
        <v>#DIV/0!</v>
      </c>
    </row>
    <row r="72" customFormat="false" ht="15.75" hidden="false" customHeight="true" outlineLevel="0" collapsed="false">
      <c r="E72" s="8" t="e">
        <f aca="false">C72*100/D72</f>
        <v>#DIV/0!</v>
      </c>
    </row>
    <row r="73" customFormat="false" ht="15.75" hidden="false" customHeight="true" outlineLevel="0" collapsed="false">
      <c r="E73" s="8" t="e">
        <f aca="false">C73*100/D73</f>
        <v>#DIV/0!</v>
      </c>
    </row>
    <row r="74" customFormat="false" ht="15.75" hidden="false" customHeight="true" outlineLevel="0" collapsed="false">
      <c r="E74" s="8" t="e">
        <f aca="false">C74*100/D74</f>
        <v>#DIV/0!</v>
      </c>
    </row>
    <row r="75" customFormat="false" ht="15.75" hidden="false" customHeight="true" outlineLevel="0" collapsed="false">
      <c r="E75" s="8" t="e">
        <f aca="false">C75*100/D75</f>
        <v>#DIV/0!</v>
      </c>
    </row>
    <row r="76" customFormat="false" ht="15.75" hidden="false" customHeight="true" outlineLevel="0" collapsed="false">
      <c r="E76" s="8" t="e">
        <f aca="false">C76*100/D76</f>
        <v>#DIV/0!</v>
      </c>
    </row>
    <row r="77" customFormat="false" ht="15.75" hidden="false" customHeight="true" outlineLevel="0" collapsed="false">
      <c r="E77" s="8" t="e">
        <f aca="false">C77*100/D77</f>
        <v>#DIV/0!</v>
      </c>
    </row>
    <row r="78" customFormat="false" ht="15.75" hidden="false" customHeight="true" outlineLevel="0" collapsed="false">
      <c r="E78" s="8" t="e">
        <f aca="false">C78*100/D78</f>
        <v>#DIV/0!</v>
      </c>
    </row>
    <row r="79" customFormat="false" ht="15.75" hidden="false" customHeight="true" outlineLevel="0" collapsed="false">
      <c r="E79" s="8" t="e">
        <f aca="false">C79*100/D79</f>
        <v>#DIV/0!</v>
      </c>
    </row>
    <row r="80" customFormat="false" ht="15.75" hidden="false" customHeight="true" outlineLevel="0" collapsed="false">
      <c r="E80" s="8" t="e">
        <f aca="false">C80*100/D80</f>
        <v>#DIV/0!</v>
      </c>
    </row>
    <row r="81" customFormat="false" ht="15.75" hidden="false" customHeight="true" outlineLevel="0" collapsed="false">
      <c r="E81" s="8" t="e">
        <f aca="false">C81*100/D81</f>
        <v>#DIV/0!</v>
      </c>
    </row>
    <row r="82" customFormat="false" ht="15.75" hidden="false" customHeight="true" outlineLevel="0" collapsed="false">
      <c r="E82" s="8" t="e">
        <f aca="false">C82*100/D82</f>
        <v>#DIV/0!</v>
      </c>
    </row>
    <row r="83" customFormat="false" ht="15.75" hidden="false" customHeight="true" outlineLevel="0" collapsed="false">
      <c r="E83" s="8" t="e">
        <f aca="false">C83*100/D83</f>
        <v>#DIV/0!</v>
      </c>
    </row>
    <row r="84" customFormat="false" ht="15.75" hidden="false" customHeight="true" outlineLevel="0" collapsed="false">
      <c r="E84" s="8" t="e">
        <f aca="false">C84*100/D84</f>
        <v>#DIV/0!</v>
      </c>
    </row>
    <row r="85" customFormat="false" ht="15.75" hidden="false" customHeight="true" outlineLevel="0" collapsed="false">
      <c r="E85" s="8" t="e">
        <f aca="false">C85*100/D85</f>
        <v>#DIV/0!</v>
      </c>
    </row>
    <row r="86" customFormat="false" ht="15.75" hidden="false" customHeight="true" outlineLevel="0" collapsed="false">
      <c r="E86" s="8" t="e">
        <f aca="false">C86*100/D86</f>
        <v>#DIV/0!</v>
      </c>
    </row>
    <row r="87" customFormat="false" ht="15.75" hidden="false" customHeight="true" outlineLevel="0" collapsed="false">
      <c r="E87" s="8" t="e">
        <f aca="false">C87*100/D87</f>
        <v>#DIV/0!</v>
      </c>
    </row>
    <row r="88" customFormat="false" ht="15.75" hidden="false" customHeight="true" outlineLevel="0" collapsed="false">
      <c r="E88" s="8" t="e">
        <f aca="false">C88*100/D88</f>
        <v>#DIV/0!</v>
      </c>
    </row>
    <row r="89" customFormat="false" ht="15.75" hidden="false" customHeight="true" outlineLevel="0" collapsed="false">
      <c r="E89" s="8" t="e">
        <f aca="false">C89*100/D89</f>
        <v>#DIV/0!</v>
      </c>
    </row>
    <row r="90" customFormat="false" ht="15.75" hidden="false" customHeight="true" outlineLevel="0" collapsed="false">
      <c r="E90" s="8" t="e">
        <f aca="false">C90*100/D90</f>
        <v>#DIV/0!</v>
      </c>
    </row>
    <row r="91" customFormat="false" ht="15.75" hidden="false" customHeight="true" outlineLevel="0" collapsed="false">
      <c r="E91" s="8" t="e">
        <f aca="false">C91*100/D91</f>
        <v>#DIV/0!</v>
      </c>
    </row>
    <row r="92" customFormat="false" ht="15.75" hidden="false" customHeight="true" outlineLevel="0" collapsed="false">
      <c r="E92" s="8" t="e">
        <f aca="false">C92*100/D92</f>
        <v>#DIV/0!</v>
      </c>
    </row>
    <row r="93" customFormat="false" ht="15.75" hidden="false" customHeight="true" outlineLevel="0" collapsed="false">
      <c r="E93" s="8" t="e">
        <f aca="false">C93*100/D93</f>
        <v>#DIV/0!</v>
      </c>
    </row>
    <row r="94" customFormat="false" ht="15.75" hidden="false" customHeight="true" outlineLevel="0" collapsed="false">
      <c r="E94" s="8" t="e">
        <f aca="false">C94*100/D94</f>
        <v>#DIV/0!</v>
      </c>
    </row>
    <row r="95" customFormat="false" ht="15.75" hidden="false" customHeight="true" outlineLevel="0" collapsed="false">
      <c r="E95" s="8" t="e">
        <f aca="false">C95*100/D95</f>
        <v>#DIV/0!</v>
      </c>
    </row>
    <row r="96" customFormat="false" ht="15.75" hidden="false" customHeight="true" outlineLevel="0" collapsed="false">
      <c r="E96" s="8" t="e">
        <f aca="false">C96*100/D96</f>
        <v>#DIV/0!</v>
      </c>
    </row>
    <row r="97" customFormat="false" ht="15.75" hidden="false" customHeight="true" outlineLevel="0" collapsed="false">
      <c r="E97" s="8" t="e">
        <f aca="false">C97*100/D97</f>
        <v>#DIV/0!</v>
      </c>
    </row>
    <row r="98" customFormat="false" ht="15.75" hidden="false" customHeight="true" outlineLevel="0" collapsed="false">
      <c r="E98" s="8" t="e">
        <f aca="false">C98*100/D98</f>
        <v>#DIV/0!</v>
      </c>
    </row>
    <row r="99" customFormat="false" ht="15.75" hidden="false" customHeight="true" outlineLevel="0" collapsed="false">
      <c r="E99" s="8" t="e">
        <f aca="false">C99*100/D99</f>
        <v>#DIV/0!</v>
      </c>
    </row>
    <row r="100" customFormat="false" ht="15.75" hidden="false" customHeight="true" outlineLevel="0" collapsed="false">
      <c r="E100" s="8" t="e">
        <f aca="false">C100*100/D100</f>
        <v>#DIV/0!</v>
      </c>
    </row>
    <row r="101" customFormat="false" ht="15.75" hidden="false" customHeight="true" outlineLevel="0" collapsed="false">
      <c r="E101" s="8" t="e">
        <f aca="false">C101*100/D101</f>
        <v>#DIV/0!</v>
      </c>
    </row>
    <row r="102" customFormat="false" ht="15.75" hidden="false" customHeight="true" outlineLevel="0" collapsed="false">
      <c r="E102" s="8" t="e">
        <f aca="false">C102*100/D102</f>
        <v>#DIV/0!</v>
      </c>
    </row>
    <row r="103" customFormat="false" ht="15.75" hidden="false" customHeight="true" outlineLevel="0" collapsed="false">
      <c r="E103" s="8" t="e">
        <f aca="false">C103*100/D103</f>
        <v>#DIV/0!</v>
      </c>
    </row>
    <row r="104" customFormat="false" ht="15.75" hidden="false" customHeight="true" outlineLevel="0" collapsed="false">
      <c r="E104" s="8" t="e">
        <f aca="false">C104*100/D104</f>
        <v>#DIV/0!</v>
      </c>
    </row>
    <row r="105" customFormat="false" ht="15.75" hidden="false" customHeight="true" outlineLevel="0" collapsed="false">
      <c r="E105" s="8" t="e">
        <f aca="false">C105*100/D105</f>
        <v>#DIV/0!</v>
      </c>
    </row>
    <row r="106" customFormat="false" ht="15.75" hidden="false" customHeight="true" outlineLevel="0" collapsed="false">
      <c r="E106" s="8" t="e">
        <f aca="false">C106*100/D106</f>
        <v>#DIV/0!</v>
      </c>
    </row>
    <row r="107" customFormat="false" ht="15.75" hidden="false" customHeight="true" outlineLevel="0" collapsed="false">
      <c r="E107" s="8" t="e">
        <f aca="false">C107*100/D107</f>
        <v>#DIV/0!</v>
      </c>
    </row>
    <row r="108" customFormat="false" ht="15.75" hidden="false" customHeight="true" outlineLevel="0" collapsed="false">
      <c r="E108" s="8" t="e">
        <f aca="false">C108*100/D108</f>
        <v>#DIV/0!</v>
      </c>
    </row>
    <row r="109" customFormat="false" ht="15.75" hidden="false" customHeight="true" outlineLevel="0" collapsed="false">
      <c r="E109" s="8" t="e">
        <f aca="false">C109*100/D109</f>
        <v>#DIV/0!</v>
      </c>
    </row>
    <row r="110" customFormat="false" ht="15.75" hidden="false" customHeight="true" outlineLevel="0" collapsed="false">
      <c r="E110" s="8" t="e">
        <f aca="false">C110*100/D110</f>
        <v>#DIV/0!</v>
      </c>
    </row>
    <row r="111" customFormat="false" ht="15.75" hidden="false" customHeight="true" outlineLevel="0" collapsed="false">
      <c r="E111" s="8" t="e">
        <f aca="false">C111*100/D111</f>
        <v>#DIV/0!</v>
      </c>
    </row>
    <row r="112" customFormat="false" ht="15.75" hidden="false" customHeight="true" outlineLevel="0" collapsed="false">
      <c r="E112" s="8" t="e">
        <f aca="false">C112*100/D112</f>
        <v>#DIV/0!</v>
      </c>
    </row>
    <row r="113" customFormat="false" ht="15.75" hidden="false" customHeight="true" outlineLevel="0" collapsed="false">
      <c r="E113" s="8" t="e">
        <f aca="false">C113*100/D113</f>
        <v>#DIV/0!</v>
      </c>
    </row>
    <row r="114" customFormat="false" ht="15.75" hidden="false" customHeight="true" outlineLevel="0" collapsed="false">
      <c r="E114" s="8" t="e">
        <f aca="false">C114*100/D114</f>
        <v>#DIV/0!</v>
      </c>
    </row>
    <row r="115" customFormat="false" ht="15.75" hidden="false" customHeight="true" outlineLevel="0" collapsed="false">
      <c r="E115" s="8" t="e">
        <f aca="false">C115*100/D115</f>
        <v>#DIV/0!</v>
      </c>
    </row>
    <row r="116" customFormat="false" ht="15.75" hidden="false" customHeight="true" outlineLevel="0" collapsed="false">
      <c r="E116" s="8" t="e">
        <f aca="false">C116*100/D116</f>
        <v>#DIV/0!</v>
      </c>
    </row>
    <row r="117" customFormat="false" ht="15.75" hidden="false" customHeight="true" outlineLevel="0" collapsed="false">
      <c r="E117" s="8" t="e">
        <f aca="false">C117*100/D117</f>
        <v>#DIV/0!</v>
      </c>
    </row>
    <row r="118" customFormat="false" ht="15.75" hidden="false" customHeight="true" outlineLevel="0" collapsed="false">
      <c r="E118" s="8" t="e">
        <f aca="false">C118*100/D118</f>
        <v>#DIV/0!</v>
      </c>
    </row>
    <row r="119" customFormat="false" ht="15.75" hidden="false" customHeight="true" outlineLevel="0" collapsed="false">
      <c r="E119" s="8" t="e">
        <f aca="false">C119*100/D119</f>
        <v>#DIV/0!</v>
      </c>
    </row>
    <row r="120" customFormat="false" ht="15.75" hidden="false" customHeight="true" outlineLevel="0" collapsed="false">
      <c r="E120" s="8" t="e">
        <f aca="false">C120*100/D120</f>
        <v>#DIV/0!</v>
      </c>
    </row>
    <row r="121" customFormat="false" ht="15.75" hidden="false" customHeight="true" outlineLevel="0" collapsed="false">
      <c r="E121" s="8" t="e">
        <f aca="false">C121*100/D121</f>
        <v>#DIV/0!</v>
      </c>
    </row>
    <row r="122" customFormat="false" ht="15.75" hidden="false" customHeight="true" outlineLevel="0" collapsed="false">
      <c r="E122" s="8" t="e">
        <f aca="false">C122*100/D122</f>
        <v>#DIV/0!</v>
      </c>
    </row>
    <row r="123" customFormat="false" ht="15.75" hidden="false" customHeight="true" outlineLevel="0" collapsed="false">
      <c r="E123" s="8" t="e">
        <f aca="false">C123*100/D123</f>
        <v>#DIV/0!</v>
      </c>
    </row>
    <row r="124" customFormat="false" ht="15.75" hidden="false" customHeight="true" outlineLevel="0" collapsed="false">
      <c r="E124" s="8" t="e">
        <f aca="false">C124*100/D124</f>
        <v>#DIV/0!</v>
      </c>
    </row>
    <row r="125" customFormat="false" ht="15.75" hidden="false" customHeight="true" outlineLevel="0" collapsed="false">
      <c r="E125" s="8" t="e">
        <f aca="false">C125*100/D125</f>
        <v>#DIV/0!</v>
      </c>
    </row>
    <row r="126" customFormat="false" ht="15.75" hidden="false" customHeight="true" outlineLevel="0" collapsed="false">
      <c r="E126" s="8" t="e">
        <f aca="false">C126*100/D126</f>
        <v>#DIV/0!</v>
      </c>
    </row>
    <row r="127" customFormat="false" ht="15.75" hidden="false" customHeight="true" outlineLevel="0" collapsed="false">
      <c r="E127" s="8" t="e">
        <f aca="false">C127*100/D127</f>
        <v>#DIV/0!</v>
      </c>
    </row>
    <row r="128" customFormat="false" ht="15.75" hidden="false" customHeight="true" outlineLevel="0" collapsed="false">
      <c r="E128" s="8" t="e">
        <f aca="false">C128*100/D128</f>
        <v>#DIV/0!</v>
      </c>
    </row>
    <row r="129" customFormat="false" ht="15.75" hidden="false" customHeight="true" outlineLevel="0" collapsed="false">
      <c r="E129" s="8" t="e">
        <f aca="false">C129*100/D129</f>
        <v>#DIV/0!</v>
      </c>
    </row>
    <row r="130" customFormat="false" ht="15.75" hidden="false" customHeight="true" outlineLevel="0" collapsed="false">
      <c r="E130" s="8" t="e">
        <f aca="false">C130*100/D130</f>
        <v>#DIV/0!</v>
      </c>
    </row>
    <row r="131" customFormat="false" ht="15.75" hidden="false" customHeight="true" outlineLevel="0" collapsed="false">
      <c r="E131" s="8" t="e">
        <f aca="false">C131*100/D131</f>
        <v>#DIV/0!</v>
      </c>
    </row>
    <row r="132" customFormat="false" ht="15.75" hidden="false" customHeight="true" outlineLevel="0" collapsed="false">
      <c r="E132" s="8" t="e">
        <f aca="false">C132*100/D132</f>
        <v>#DIV/0!</v>
      </c>
    </row>
    <row r="133" customFormat="false" ht="15.75" hidden="false" customHeight="true" outlineLevel="0" collapsed="false">
      <c r="E133" s="8" t="e">
        <f aca="false">C133*100/D133</f>
        <v>#DIV/0!</v>
      </c>
    </row>
    <row r="134" customFormat="false" ht="15.75" hidden="false" customHeight="true" outlineLevel="0" collapsed="false">
      <c r="E134" s="8" t="e">
        <f aca="false">C134*100/D134</f>
        <v>#DIV/0!</v>
      </c>
    </row>
    <row r="135" customFormat="false" ht="15.75" hidden="false" customHeight="true" outlineLevel="0" collapsed="false">
      <c r="E135" s="8" t="e">
        <f aca="false">C135*100/D135</f>
        <v>#DIV/0!</v>
      </c>
    </row>
    <row r="136" customFormat="false" ht="15.75" hidden="false" customHeight="true" outlineLevel="0" collapsed="false">
      <c r="E136" s="8" t="e">
        <f aca="false">C136*100/D136</f>
        <v>#DIV/0!</v>
      </c>
    </row>
    <row r="137" customFormat="false" ht="15.75" hidden="false" customHeight="true" outlineLevel="0" collapsed="false">
      <c r="E137" s="8" t="e">
        <f aca="false">C137*100/D137</f>
        <v>#DIV/0!</v>
      </c>
    </row>
    <row r="138" customFormat="false" ht="15.75" hidden="false" customHeight="true" outlineLevel="0" collapsed="false">
      <c r="E138" s="8" t="e">
        <f aca="false">C138*100/D138</f>
        <v>#DIV/0!</v>
      </c>
    </row>
    <row r="139" customFormat="false" ht="15.75" hidden="false" customHeight="true" outlineLevel="0" collapsed="false">
      <c r="E139" s="8" t="e">
        <f aca="false">C139*100/D139</f>
        <v>#DIV/0!</v>
      </c>
    </row>
    <row r="140" customFormat="false" ht="15.75" hidden="false" customHeight="true" outlineLevel="0" collapsed="false">
      <c r="E140" s="8" t="e">
        <f aca="false">C140*100/D140</f>
        <v>#DIV/0!</v>
      </c>
    </row>
    <row r="141" customFormat="false" ht="15.75" hidden="false" customHeight="true" outlineLevel="0" collapsed="false">
      <c r="E141" s="8" t="e">
        <f aca="false">C141*100/D141</f>
        <v>#DIV/0!</v>
      </c>
    </row>
    <row r="142" customFormat="false" ht="15.75" hidden="false" customHeight="true" outlineLevel="0" collapsed="false">
      <c r="E142" s="8" t="e">
        <f aca="false">C142*100/D142</f>
        <v>#DIV/0!</v>
      </c>
    </row>
    <row r="143" customFormat="false" ht="15.75" hidden="false" customHeight="true" outlineLevel="0" collapsed="false">
      <c r="E143" s="8" t="e">
        <f aca="false">C143*100/D143</f>
        <v>#DIV/0!</v>
      </c>
    </row>
    <row r="144" customFormat="false" ht="15.75" hidden="false" customHeight="true" outlineLevel="0" collapsed="false">
      <c r="E144" s="8" t="e">
        <f aca="false">C144*100/D144</f>
        <v>#DIV/0!</v>
      </c>
    </row>
    <row r="145" customFormat="false" ht="15.75" hidden="false" customHeight="true" outlineLevel="0" collapsed="false">
      <c r="E145" s="8" t="e">
        <f aca="false">C145*100/D145</f>
        <v>#DIV/0!</v>
      </c>
    </row>
    <row r="146" customFormat="false" ht="15.75" hidden="false" customHeight="true" outlineLevel="0" collapsed="false">
      <c r="E146" s="8" t="e">
        <f aca="false">C146*100/D146</f>
        <v>#DIV/0!</v>
      </c>
    </row>
    <row r="147" customFormat="false" ht="15.75" hidden="false" customHeight="true" outlineLevel="0" collapsed="false">
      <c r="E147" s="8" t="e">
        <f aca="false">C147*100/D147</f>
        <v>#DIV/0!</v>
      </c>
    </row>
    <row r="148" customFormat="false" ht="15.75" hidden="false" customHeight="true" outlineLevel="0" collapsed="false">
      <c r="E148" s="8" t="e">
        <f aca="false">C148*100/D148</f>
        <v>#DIV/0!</v>
      </c>
    </row>
    <row r="149" customFormat="false" ht="15.75" hidden="false" customHeight="true" outlineLevel="0" collapsed="false">
      <c r="E149" s="8" t="e">
        <f aca="false">C149*100/D149</f>
        <v>#DIV/0!</v>
      </c>
    </row>
    <row r="150" customFormat="false" ht="15.75" hidden="false" customHeight="true" outlineLevel="0" collapsed="false">
      <c r="E150" s="8" t="e">
        <f aca="false">C150*100/D150</f>
        <v>#DIV/0!</v>
      </c>
    </row>
    <row r="151" customFormat="false" ht="15.75" hidden="false" customHeight="true" outlineLevel="0" collapsed="false">
      <c r="E151" s="8" t="e">
        <f aca="false">C151*100/D151</f>
        <v>#DIV/0!</v>
      </c>
    </row>
    <row r="152" customFormat="false" ht="15.75" hidden="false" customHeight="true" outlineLevel="0" collapsed="false">
      <c r="E152" s="8" t="e">
        <f aca="false">C152*100/D152</f>
        <v>#DIV/0!</v>
      </c>
    </row>
    <row r="153" customFormat="false" ht="15.75" hidden="false" customHeight="true" outlineLevel="0" collapsed="false">
      <c r="E153" s="8" t="e">
        <f aca="false">C153*100/D153</f>
        <v>#DIV/0!</v>
      </c>
    </row>
    <row r="154" customFormat="false" ht="15.75" hidden="false" customHeight="true" outlineLevel="0" collapsed="false">
      <c r="E154" s="8" t="e">
        <f aca="false">C154*100/D154</f>
        <v>#DIV/0!</v>
      </c>
    </row>
    <row r="155" customFormat="false" ht="15.75" hidden="false" customHeight="true" outlineLevel="0" collapsed="false">
      <c r="E155" s="8" t="e">
        <f aca="false">C155*100/D155</f>
        <v>#DIV/0!</v>
      </c>
    </row>
    <row r="156" customFormat="false" ht="15.75" hidden="false" customHeight="true" outlineLevel="0" collapsed="false">
      <c r="E156" s="8" t="e">
        <f aca="false">C156*100/D156</f>
        <v>#DIV/0!</v>
      </c>
    </row>
    <row r="157" customFormat="false" ht="15.75" hidden="false" customHeight="true" outlineLevel="0" collapsed="false">
      <c r="E157" s="8" t="e">
        <f aca="false">C157*100/D157</f>
        <v>#DIV/0!</v>
      </c>
    </row>
    <row r="158" customFormat="false" ht="15.75" hidden="false" customHeight="true" outlineLevel="0" collapsed="false">
      <c r="E158" s="8" t="e">
        <f aca="false">C158*100/D158</f>
        <v>#DIV/0!</v>
      </c>
    </row>
    <row r="159" customFormat="false" ht="15.75" hidden="false" customHeight="true" outlineLevel="0" collapsed="false">
      <c r="E159" s="8" t="e">
        <f aca="false">C159*100/D159</f>
        <v>#DIV/0!</v>
      </c>
    </row>
    <row r="160" customFormat="false" ht="15.75" hidden="false" customHeight="true" outlineLevel="0" collapsed="false">
      <c r="E160" s="8" t="e">
        <f aca="false">C160*100/D160</f>
        <v>#DIV/0!</v>
      </c>
    </row>
    <row r="161" customFormat="false" ht="15.75" hidden="false" customHeight="true" outlineLevel="0" collapsed="false">
      <c r="E161" s="8" t="e">
        <f aca="false">C161*100/D161</f>
        <v>#DIV/0!</v>
      </c>
    </row>
    <row r="162" customFormat="false" ht="15.75" hidden="false" customHeight="true" outlineLevel="0" collapsed="false">
      <c r="E162" s="8" t="e">
        <f aca="false">C162*100/D162</f>
        <v>#DIV/0!</v>
      </c>
    </row>
    <row r="163" customFormat="false" ht="15.75" hidden="false" customHeight="true" outlineLevel="0" collapsed="false">
      <c r="E163" s="8" t="e">
        <f aca="false">C163*100/D163</f>
        <v>#DIV/0!</v>
      </c>
    </row>
    <row r="164" customFormat="false" ht="15.75" hidden="false" customHeight="true" outlineLevel="0" collapsed="false">
      <c r="E164" s="8" t="e">
        <f aca="false">C164*100/D164</f>
        <v>#DIV/0!</v>
      </c>
    </row>
    <row r="165" customFormat="false" ht="15.75" hidden="false" customHeight="true" outlineLevel="0" collapsed="false">
      <c r="E165" s="8" t="e">
        <f aca="false">C165*100/D165</f>
        <v>#DIV/0!</v>
      </c>
    </row>
    <row r="166" customFormat="false" ht="15.75" hidden="false" customHeight="true" outlineLevel="0" collapsed="false">
      <c r="E166" s="8" t="e">
        <f aca="false">C166*100/D166</f>
        <v>#DIV/0!</v>
      </c>
    </row>
    <row r="167" customFormat="false" ht="15.75" hidden="false" customHeight="true" outlineLevel="0" collapsed="false">
      <c r="E167" s="8" t="e">
        <f aca="false">C167*100/D167</f>
        <v>#DIV/0!</v>
      </c>
    </row>
    <row r="168" customFormat="false" ht="15.75" hidden="false" customHeight="true" outlineLevel="0" collapsed="false">
      <c r="E168" s="8" t="e">
        <f aca="false">C168*100/D168</f>
        <v>#DIV/0!</v>
      </c>
    </row>
    <row r="169" customFormat="false" ht="15.75" hidden="false" customHeight="true" outlineLevel="0" collapsed="false">
      <c r="E169" s="8" t="e">
        <f aca="false">C169*100/D169</f>
        <v>#DIV/0!</v>
      </c>
    </row>
    <row r="170" customFormat="false" ht="15.75" hidden="false" customHeight="true" outlineLevel="0" collapsed="false">
      <c r="E170" s="8" t="e">
        <f aca="false">C170*100/D170</f>
        <v>#DIV/0!</v>
      </c>
    </row>
    <row r="171" customFormat="false" ht="15.75" hidden="false" customHeight="true" outlineLevel="0" collapsed="false">
      <c r="E171" s="8" t="e">
        <f aca="false">C171*100/D171</f>
        <v>#DIV/0!</v>
      </c>
    </row>
    <row r="172" customFormat="false" ht="15.75" hidden="false" customHeight="true" outlineLevel="0" collapsed="false">
      <c r="E172" s="8" t="e">
        <f aca="false">C172*100/D172</f>
        <v>#DIV/0!</v>
      </c>
    </row>
    <row r="173" customFormat="false" ht="15.75" hidden="false" customHeight="true" outlineLevel="0" collapsed="false">
      <c r="E173" s="8" t="e">
        <f aca="false">C173*100/D173</f>
        <v>#DIV/0!</v>
      </c>
    </row>
    <row r="174" customFormat="false" ht="15.75" hidden="false" customHeight="true" outlineLevel="0" collapsed="false">
      <c r="E174" s="8" t="e">
        <f aca="false">C174*100/D174</f>
        <v>#DIV/0!</v>
      </c>
    </row>
    <row r="175" customFormat="false" ht="15.75" hidden="false" customHeight="true" outlineLevel="0" collapsed="false">
      <c r="E175" s="8" t="e">
        <f aca="false">C175*100/D175</f>
        <v>#DIV/0!</v>
      </c>
    </row>
    <row r="176" customFormat="false" ht="15.75" hidden="false" customHeight="true" outlineLevel="0" collapsed="false">
      <c r="E176" s="8" t="e">
        <f aca="false">C176*100/D176</f>
        <v>#DIV/0!</v>
      </c>
    </row>
    <row r="177" customFormat="false" ht="15.75" hidden="false" customHeight="true" outlineLevel="0" collapsed="false">
      <c r="E177" s="8" t="e">
        <f aca="false">C177*100/D177</f>
        <v>#DIV/0!</v>
      </c>
    </row>
    <row r="178" customFormat="false" ht="15.75" hidden="false" customHeight="true" outlineLevel="0" collapsed="false">
      <c r="E178" s="8" t="e">
        <f aca="false">C178*100/D178</f>
        <v>#DIV/0!</v>
      </c>
    </row>
    <row r="179" customFormat="false" ht="15.75" hidden="false" customHeight="true" outlineLevel="0" collapsed="false">
      <c r="E179" s="8" t="e">
        <f aca="false">C179*100/D179</f>
        <v>#DIV/0!</v>
      </c>
    </row>
    <row r="180" customFormat="false" ht="15.75" hidden="false" customHeight="true" outlineLevel="0" collapsed="false">
      <c r="E180" s="8" t="e">
        <f aca="false">C180*100/D180</f>
        <v>#DIV/0!</v>
      </c>
    </row>
    <row r="181" customFormat="false" ht="15.75" hidden="false" customHeight="true" outlineLevel="0" collapsed="false">
      <c r="E181" s="8" t="e">
        <f aca="false">C181*100/D181</f>
        <v>#DIV/0!</v>
      </c>
    </row>
    <row r="182" customFormat="false" ht="15.75" hidden="false" customHeight="true" outlineLevel="0" collapsed="false">
      <c r="E182" s="8" t="e">
        <f aca="false">C182*100/D182</f>
        <v>#DIV/0!</v>
      </c>
    </row>
    <row r="183" customFormat="false" ht="15.75" hidden="false" customHeight="true" outlineLevel="0" collapsed="false">
      <c r="E183" s="8" t="e">
        <f aca="false">C183*100/D183</f>
        <v>#DIV/0!</v>
      </c>
    </row>
    <row r="184" customFormat="false" ht="15.75" hidden="false" customHeight="true" outlineLevel="0" collapsed="false">
      <c r="E184" s="8" t="e">
        <f aca="false">C184*100/D184</f>
        <v>#DIV/0!</v>
      </c>
    </row>
    <row r="185" customFormat="false" ht="15.75" hidden="false" customHeight="true" outlineLevel="0" collapsed="false">
      <c r="E185" s="8" t="e">
        <f aca="false">C185*100/D185</f>
        <v>#DIV/0!</v>
      </c>
    </row>
    <row r="186" customFormat="false" ht="15.75" hidden="false" customHeight="true" outlineLevel="0" collapsed="false">
      <c r="E186" s="8" t="e">
        <f aca="false">C186*100/D186</f>
        <v>#DIV/0!</v>
      </c>
    </row>
    <row r="187" customFormat="false" ht="15.75" hidden="false" customHeight="true" outlineLevel="0" collapsed="false">
      <c r="E187" s="8" t="e">
        <f aca="false">C187*100/D187</f>
        <v>#DIV/0!</v>
      </c>
    </row>
    <row r="188" customFormat="false" ht="15.75" hidden="false" customHeight="true" outlineLevel="0" collapsed="false">
      <c r="E188" s="8" t="e">
        <f aca="false">C188*100/D188</f>
        <v>#DIV/0!</v>
      </c>
    </row>
    <row r="189" customFormat="false" ht="15.75" hidden="false" customHeight="true" outlineLevel="0" collapsed="false">
      <c r="E189" s="8" t="e">
        <f aca="false">C189*100/D189</f>
        <v>#DIV/0!</v>
      </c>
    </row>
    <row r="190" customFormat="false" ht="15.75" hidden="false" customHeight="true" outlineLevel="0" collapsed="false">
      <c r="E190" s="8" t="e">
        <f aca="false">C190*100/D190</f>
        <v>#DIV/0!</v>
      </c>
    </row>
    <row r="191" customFormat="false" ht="15.75" hidden="false" customHeight="true" outlineLevel="0" collapsed="false">
      <c r="E191" s="8" t="e">
        <f aca="false">C191*100/D191</f>
        <v>#DIV/0!</v>
      </c>
    </row>
    <row r="192" customFormat="false" ht="15.75" hidden="false" customHeight="true" outlineLevel="0" collapsed="false">
      <c r="E192" s="8" t="e">
        <f aca="false">C192*100/D192</f>
        <v>#DIV/0!</v>
      </c>
    </row>
    <row r="193" customFormat="false" ht="15.75" hidden="false" customHeight="true" outlineLevel="0" collapsed="false">
      <c r="E193" s="8" t="e">
        <f aca="false">C193*100/D193</f>
        <v>#DIV/0!</v>
      </c>
    </row>
    <row r="194" customFormat="false" ht="15.75" hidden="false" customHeight="true" outlineLevel="0" collapsed="false">
      <c r="E194" s="8" t="e">
        <f aca="false">C194*100/D194</f>
        <v>#DIV/0!</v>
      </c>
    </row>
    <row r="195" customFormat="false" ht="15.75" hidden="false" customHeight="true" outlineLevel="0" collapsed="false">
      <c r="E195" s="8" t="e">
        <f aca="false">C195*100/D195</f>
        <v>#DIV/0!</v>
      </c>
    </row>
    <row r="196" customFormat="false" ht="15.75" hidden="false" customHeight="true" outlineLevel="0" collapsed="false">
      <c r="E196" s="8" t="e">
        <f aca="false">C196*100/D196</f>
        <v>#DIV/0!</v>
      </c>
    </row>
    <row r="197" customFormat="false" ht="15.75" hidden="false" customHeight="true" outlineLevel="0" collapsed="false">
      <c r="E197" s="8" t="e">
        <f aca="false">C197*100/D197</f>
        <v>#DIV/0!</v>
      </c>
    </row>
    <row r="198" customFormat="false" ht="15.75" hidden="false" customHeight="true" outlineLevel="0" collapsed="false">
      <c r="E198" s="8" t="e">
        <f aca="false">C198*100/D198</f>
        <v>#DIV/0!</v>
      </c>
    </row>
    <row r="199" customFormat="false" ht="15.75" hidden="false" customHeight="true" outlineLevel="0" collapsed="false">
      <c r="E199" s="8" t="e">
        <f aca="false">C199*100/D199</f>
        <v>#DIV/0!</v>
      </c>
    </row>
    <row r="200" customFormat="false" ht="15.75" hidden="false" customHeight="true" outlineLevel="0" collapsed="false">
      <c r="E200" s="8" t="e">
        <f aca="false">C200*100/D200</f>
        <v>#DIV/0!</v>
      </c>
    </row>
    <row r="201" customFormat="false" ht="15.75" hidden="false" customHeight="true" outlineLevel="0" collapsed="false">
      <c r="E201" s="8" t="e">
        <f aca="false">C201*100/D201</f>
        <v>#DIV/0!</v>
      </c>
    </row>
    <row r="202" customFormat="false" ht="15.75" hidden="false" customHeight="true" outlineLevel="0" collapsed="false">
      <c r="E202" s="8" t="e">
        <f aca="false">C202*100/D202</f>
        <v>#DIV/0!</v>
      </c>
    </row>
    <row r="203" customFormat="false" ht="15.75" hidden="false" customHeight="true" outlineLevel="0" collapsed="false">
      <c r="E203" s="8" t="e">
        <f aca="false">C203*100/D203</f>
        <v>#DIV/0!</v>
      </c>
    </row>
    <row r="204" customFormat="false" ht="15.75" hidden="false" customHeight="true" outlineLevel="0" collapsed="false">
      <c r="E204" s="8" t="e">
        <f aca="false">C204*100/D204</f>
        <v>#DIV/0!</v>
      </c>
    </row>
    <row r="205" customFormat="false" ht="15.75" hidden="false" customHeight="true" outlineLevel="0" collapsed="false">
      <c r="E205" s="8" t="e">
        <f aca="false">C205*100/D205</f>
        <v>#DIV/0!</v>
      </c>
    </row>
    <row r="206" customFormat="false" ht="15.75" hidden="false" customHeight="true" outlineLevel="0" collapsed="false">
      <c r="E206" s="8" t="e">
        <f aca="false">C206*100/D206</f>
        <v>#DIV/0!</v>
      </c>
    </row>
    <row r="207" customFormat="false" ht="15.75" hidden="false" customHeight="true" outlineLevel="0" collapsed="false">
      <c r="E207" s="8" t="e">
        <f aca="false">C207*100/D207</f>
        <v>#DIV/0!</v>
      </c>
    </row>
    <row r="208" customFormat="false" ht="15.75" hidden="false" customHeight="true" outlineLevel="0" collapsed="false">
      <c r="E208" s="8" t="e">
        <f aca="false">C208*100/D208</f>
        <v>#DIV/0!</v>
      </c>
    </row>
    <row r="209" customFormat="false" ht="15.75" hidden="false" customHeight="true" outlineLevel="0" collapsed="false">
      <c r="E209" s="8" t="e">
        <f aca="false">C209*100/D209</f>
        <v>#DIV/0!</v>
      </c>
    </row>
    <row r="210" customFormat="false" ht="15.75" hidden="false" customHeight="true" outlineLevel="0" collapsed="false">
      <c r="E210" s="8" t="e">
        <f aca="false">C210*100/D210</f>
        <v>#DIV/0!</v>
      </c>
    </row>
    <row r="211" customFormat="false" ht="15.75" hidden="false" customHeight="true" outlineLevel="0" collapsed="false">
      <c r="E211" s="8" t="e">
        <f aca="false">C211*100/D211</f>
        <v>#DIV/0!</v>
      </c>
    </row>
    <row r="212" customFormat="false" ht="15.75" hidden="false" customHeight="true" outlineLevel="0" collapsed="false">
      <c r="E212" s="8" t="e">
        <f aca="false">C212*100/D212</f>
        <v>#DIV/0!</v>
      </c>
    </row>
    <row r="213" customFormat="false" ht="15.75" hidden="false" customHeight="true" outlineLevel="0" collapsed="false">
      <c r="E213" s="8" t="e">
        <f aca="false">C213*100/D213</f>
        <v>#DIV/0!</v>
      </c>
    </row>
    <row r="214" customFormat="false" ht="15.75" hidden="false" customHeight="true" outlineLevel="0" collapsed="false">
      <c r="E214" s="8" t="e">
        <f aca="false">C214*100/D214</f>
        <v>#DIV/0!</v>
      </c>
    </row>
    <row r="215" customFormat="false" ht="15.75" hidden="false" customHeight="true" outlineLevel="0" collapsed="false">
      <c r="E215" s="8" t="e">
        <f aca="false">C215*100/D215</f>
        <v>#DIV/0!</v>
      </c>
    </row>
    <row r="216" customFormat="false" ht="15.75" hidden="false" customHeight="true" outlineLevel="0" collapsed="false">
      <c r="E216" s="8" t="e">
        <f aca="false">C216*100/D216</f>
        <v>#DIV/0!</v>
      </c>
    </row>
    <row r="217" customFormat="false" ht="15.75" hidden="false" customHeight="true" outlineLevel="0" collapsed="false">
      <c r="E217" s="8" t="e">
        <f aca="false">C217*100/D217</f>
        <v>#DIV/0!</v>
      </c>
    </row>
    <row r="218" customFormat="false" ht="15.75" hidden="false" customHeight="true" outlineLevel="0" collapsed="false">
      <c r="E218" s="8" t="e">
        <f aca="false">C218*100/D218</f>
        <v>#DIV/0!</v>
      </c>
    </row>
    <row r="219" customFormat="false" ht="15.75" hidden="false" customHeight="true" outlineLevel="0" collapsed="false">
      <c r="E219" s="8" t="e">
        <f aca="false">C219*100/D219</f>
        <v>#DIV/0!</v>
      </c>
    </row>
    <row r="220" customFormat="false" ht="15.75" hidden="false" customHeight="true" outlineLevel="0" collapsed="false">
      <c r="E220" s="8" t="e">
        <f aca="false">C220*100/D220</f>
        <v>#DIV/0!</v>
      </c>
    </row>
    <row r="221" customFormat="false" ht="15.75" hidden="false" customHeight="true" outlineLevel="0" collapsed="false">
      <c r="E221" s="8" t="e">
        <f aca="false">C221*100/D221</f>
        <v>#DIV/0!</v>
      </c>
    </row>
    <row r="222" customFormat="false" ht="15.75" hidden="false" customHeight="true" outlineLevel="0" collapsed="false">
      <c r="E222" s="8" t="e">
        <f aca="false">C222*100/D222</f>
        <v>#DIV/0!</v>
      </c>
    </row>
    <row r="223" customFormat="false" ht="15.75" hidden="false" customHeight="true" outlineLevel="0" collapsed="false">
      <c r="E223" s="8" t="e">
        <f aca="false">C223*100/D223</f>
        <v>#DIV/0!</v>
      </c>
    </row>
    <row r="224" customFormat="false" ht="15.75" hidden="false" customHeight="true" outlineLevel="0" collapsed="false">
      <c r="E224" s="8" t="e">
        <f aca="false">C224*100/D224</f>
        <v>#DIV/0!</v>
      </c>
    </row>
    <row r="225" customFormat="false" ht="15.75" hidden="false" customHeight="true" outlineLevel="0" collapsed="false">
      <c r="E225" s="8" t="e">
        <f aca="false">C225*100/D225</f>
        <v>#DIV/0!</v>
      </c>
    </row>
    <row r="226" customFormat="false" ht="15.75" hidden="false" customHeight="true" outlineLevel="0" collapsed="false">
      <c r="E226" s="8" t="e">
        <f aca="false">C226*100/D226</f>
        <v>#DIV/0!</v>
      </c>
    </row>
    <row r="227" customFormat="false" ht="15.75" hidden="false" customHeight="true" outlineLevel="0" collapsed="false">
      <c r="E227" s="8" t="e">
        <f aca="false">C227*100/D227</f>
        <v>#DIV/0!</v>
      </c>
    </row>
    <row r="228" customFormat="false" ht="15.75" hidden="false" customHeight="true" outlineLevel="0" collapsed="false">
      <c r="E228" s="8" t="e">
        <f aca="false">C228*100/D228</f>
        <v>#DIV/0!</v>
      </c>
    </row>
    <row r="229" customFormat="false" ht="15.75" hidden="false" customHeight="true" outlineLevel="0" collapsed="false">
      <c r="E229" s="8" t="e">
        <f aca="false">C229*100/D229</f>
        <v>#DIV/0!</v>
      </c>
    </row>
    <row r="230" customFormat="false" ht="15.75" hidden="false" customHeight="true" outlineLevel="0" collapsed="false">
      <c r="E230" s="8" t="e">
        <f aca="false">C230*100/D230</f>
        <v>#DIV/0!</v>
      </c>
    </row>
    <row r="231" customFormat="false" ht="15.75" hidden="false" customHeight="true" outlineLevel="0" collapsed="false">
      <c r="E231" s="8" t="e">
        <f aca="false">C231*100/D231</f>
        <v>#DIV/0!</v>
      </c>
    </row>
    <row r="232" customFormat="false" ht="15.75" hidden="false" customHeight="true" outlineLevel="0" collapsed="false">
      <c r="E232" s="8" t="e">
        <f aca="false">C232*100/D232</f>
        <v>#DIV/0!</v>
      </c>
    </row>
    <row r="233" customFormat="false" ht="15.75" hidden="false" customHeight="true" outlineLevel="0" collapsed="false">
      <c r="E233" s="8" t="e">
        <f aca="false">C233*100/D233</f>
        <v>#DIV/0!</v>
      </c>
    </row>
    <row r="234" customFormat="false" ht="15.75" hidden="false" customHeight="true" outlineLevel="0" collapsed="false">
      <c r="E234" s="8" t="e">
        <f aca="false">C234*100/D234</f>
        <v>#DIV/0!</v>
      </c>
    </row>
    <row r="235" customFormat="false" ht="15.75" hidden="false" customHeight="true" outlineLevel="0" collapsed="false">
      <c r="E235" s="8" t="e">
        <f aca="false">C235*100/D235</f>
        <v>#DIV/0!</v>
      </c>
    </row>
    <row r="236" customFormat="false" ht="15.75" hidden="false" customHeight="true" outlineLevel="0" collapsed="false">
      <c r="E236" s="8" t="e">
        <f aca="false">C236*100/D236</f>
        <v>#DIV/0!</v>
      </c>
    </row>
    <row r="237" customFormat="false" ht="15.75" hidden="false" customHeight="true" outlineLevel="0" collapsed="false">
      <c r="E237" s="8" t="e">
        <f aca="false">C237*100/D237</f>
        <v>#DIV/0!</v>
      </c>
    </row>
    <row r="238" customFormat="false" ht="15.75" hidden="false" customHeight="true" outlineLevel="0" collapsed="false">
      <c r="E238" s="8" t="e">
        <f aca="false">C238*100/D238</f>
        <v>#DIV/0!</v>
      </c>
    </row>
    <row r="239" customFormat="false" ht="15.75" hidden="false" customHeight="true" outlineLevel="0" collapsed="false">
      <c r="E239" s="8" t="e">
        <f aca="false">C239*100/D239</f>
        <v>#DIV/0!</v>
      </c>
    </row>
    <row r="240" customFormat="false" ht="15.75" hidden="false" customHeight="true" outlineLevel="0" collapsed="false">
      <c r="E240" s="8" t="e">
        <f aca="false">C240*100/D240</f>
        <v>#DIV/0!</v>
      </c>
    </row>
    <row r="241" customFormat="false" ht="15.75" hidden="false" customHeight="true" outlineLevel="0" collapsed="false">
      <c r="E241" s="8" t="e">
        <f aca="false">C241*100/D241</f>
        <v>#DIV/0!</v>
      </c>
    </row>
    <row r="242" customFormat="false" ht="15.75" hidden="false" customHeight="true" outlineLevel="0" collapsed="false">
      <c r="E242" s="8" t="e">
        <f aca="false">C242*100/D242</f>
        <v>#DIV/0!</v>
      </c>
    </row>
    <row r="243" customFormat="false" ht="15.75" hidden="false" customHeight="true" outlineLevel="0" collapsed="false">
      <c r="E243" s="8" t="e">
        <f aca="false">C243*100/D243</f>
        <v>#DIV/0!</v>
      </c>
    </row>
    <row r="244" customFormat="false" ht="15.75" hidden="false" customHeight="true" outlineLevel="0" collapsed="false">
      <c r="E244" s="8" t="e">
        <f aca="false">C244*100/D244</f>
        <v>#DIV/0!</v>
      </c>
    </row>
    <row r="245" customFormat="false" ht="15.75" hidden="false" customHeight="true" outlineLevel="0" collapsed="false">
      <c r="E245" s="8" t="e">
        <f aca="false">C245*100/D245</f>
        <v>#DIV/0!</v>
      </c>
    </row>
    <row r="246" customFormat="false" ht="15.75" hidden="false" customHeight="true" outlineLevel="0" collapsed="false">
      <c r="E246" s="8" t="e">
        <f aca="false">C246*100/D246</f>
        <v>#DIV/0!</v>
      </c>
    </row>
    <row r="247" customFormat="false" ht="15.75" hidden="false" customHeight="true" outlineLevel="0" collapsed="false">
      <c r="E247" s="8" t="e">
        <f aca="false">C247*100/D247</f>
        <v>#DIV/0!</v>
      </c>
    </row>
    <row r="248" customFormat="false" ht="15.75" hidden="false" customHeight="true" outlineLevel="0" collapsed="false">
      <c r="E248" s="8" t="e">
        <f aca="false">C248*100/D248</f>
        <v>#DIV/0!</v>
      </c>
    </row>
    <row r="249" customFormat="false" ht="15.75" hidden="false" customHeight="true" outlineLevel="0" collapsed="false">
      <c r="E249" s="8" t="e">
        <f aca="false">C249*100/D249</f>
        <v>#DIV/0!</v>
      </c>
    </row>
    <row r="250" customFormat="false" ht="15.75" hidden="false" customHeight="true" outlineLevel="0" collapsed="false">
      <c r="E250" s="8" t="e">
        <f aca="false">C250*100/D250</f>
        <v>#DIV/0!</v>
      </c>
    </row>
    <row r="251" customFormat="false" ht="15.75" hidden="false" customHeight="true" outlineLevel="0" collapsed="false">
      <c r="E251" s="8" t="e">
        <f aca="false">C251*100/D251</f>
        <v>#DIV/0!</v>
      </c>
    </row>
    <row r="252" customFormat="false" ht="15.75" hidden="false" customHeight="true" outlineLevel="0" collapsed="false">
      <c r="E252" s="8" t="e">
        <f aca="false">C252*100/D252</f>
        <v>#DIV/0!</v>
      </c>
    </row>
    <row r="253" customFormat="false" ht="15.75" hidden="false" customHeight="true" outlineLevel="0" collapsed="false">
      <c r="E253" s="8" t="e">
        <f aca="false">C253*100/D253</f>
        <v>#DIV/0!</v>
      </c>
    </row>
    <row r="254" customFormat="false" ht="15.75" hidden="false" customHeight="true" outlineLevel="0" collapsed="false">
      <c r="E254" s="8" t="e">
        <f aca="false">C254*100/D254</f>
        <v>#DIV/0!</v>
      </c>
    </row>
    <row r="255" customFormat="false" ht="15.75" hidden="false" customHeight="true" outlineLevel="0" collapsed="false">
      <c r="E255" s="8" t="e">
        <f aca="false">C255*100/D255</f>
        <v>#DIV/0!</v>
      </c>
    </row>
    <row r="256" customFormat="false" ht="15.75" hidden="false" customHeight="true" outlineLevel="0" collapsed="false">
      <c r="E256" s="8" t="e">
        <f aca="false">C256*100/D256</f>
        <v>#DIV/0!</v>
      </c>
    </row>
    <row r="257" customFormat="false" ht="15.75" hidden="false" customHeight="true" outlineLevel="0" collapsed="false">
      <c r="E257" s="8" t="e">
        <f aca="false">C257*100/D257</f>
        <v>#DIV/0!</v>
      </c>
    </row>
    <row r="258" customFormat="false" ht="15.75" hidden="false" customHeight="true" outlineLevel="0" collapsed="false">
      <c r="E258" s="8" t="e">
        <f aca="false">C258*100/D258</f>
        <v>#DIV/0!</v>
      </c>
    </row>
    <row r="259" customFormat="false" ht="15.75" hidden="false" customHeight="true" outlineLevel="0" collapsed="false">
      <c r="E259" s="8" t="e">
        <f aca="false">C259*100/D259</f>
        <v>#DIV/0!</v>
      </c>
    </row>
    <row r="260" customFormat="false" ht="15.75" hidden="false" customHeight="true" outlineLevel="0" collapsed="false">
      <c r="E260" s="8" t="e">
        <f aca="false">C260*100/D260</f>
        <v>#DIV/0!</v>
      </c>
    </row>
    <row r="261" customFormat="false" ht="15.75" hidden="false" customHeight="true" outlineLevel="0" collapsed="false">
      <c r="E261" s="8" t="e">
        <f aca="false">C261*100/D261</f>
        <v>#DIV/0!</v>
      </c>
    </row>
    <row r="262" customFormat="false" ht="15.75" hidden="false" customHeight="true" outlineLevel="0" collapsed="false">
      <c r="E262" s="8" t="e">
        <f aca="false">C262*100/D262</f>
        <v>#DIV/0!</v>
      </c>
    </row>
    <row r="263" customFormat="false" ht="15.75" hidden="false" customHeight="true" outlineLevel="0" collapsed="false">
      <c r="E263" s="8" t="e">
        <f aca="false">C263*100/D263</f>
        <v>#DIV/0!</v>
      </c>
    </row>
    <row r="264" customFormat="false" ht="15.75" hidden="false" customHeight="true" outlineLevel="0" collapsed="false">
      <c r="E264" s="8" t="e">
        <f aca="false">C264*100/D264</f>
        <v>#DIV/0!</v>
      </c>
    </row>
    <row r="265" customFormat="false" ht="15.75" hidden="false" customHeight="true" outlineLevel="0" collapsed="false">
      <c r="E265" s="8" t="e">
        <f aca="false">C265*100/D265</f>
        <v>#DIV/0!</v>
      </c>
    </row>
    <row r="266" customFormat="false" ht="15.75" hidden="false" customHeight="true" outlineLevel="0" collapsed="false">
      <c r="E266" s="8" t="e">
        <f aca="false">C266*100/D266</f>
        <v>#DIV/0!</v>
      </c>
    </row>
    <row r="267" customFormat="false" ht="15.75" hidden="false" customHeight="true" outlineLevel="0" collapsed="false">
      <c r="E267" s="8" t="e">
        <f aca="false">C267*100/D267</f>
        <v>#DIV/0!</v>
      </c>
    </row>
    <row r="268" customFormat="false" ht="15.75" hidden="false" customHeight="true" outlineLevel="0" collapsed="false">
      <c r="E268" s="8" t="e">
        <f aca="false">C268*100/D268</f>
        <v>#DIV/0!</v>
      </c>
    </row>
    <row r="269" customFormat="false" ht="15.75" hidden="false" customHeight="true" outlineLevel="0" collapsed="false">
      <c r="E269" s="8" t="e">
        <f aca="false">C269*100/D269</f>
        <v>#DIV/0!</v>
      </c>
    </row>
    <row r="270" customFormat="false" ht="15.75" hidden="false" customHeight="true" outlineLevel="0" collapsed="false">
      <c r="E270" s="8" t="e">
        <f aca="false">C270*100/D270</f>
        <v>#DIV/0!</v>
      </c>
    </row>
    <row r="271" customFormat="false" ht="15.75" hidden="false" customHeight="true" outlineLevel="0" collapsed="false">
      <c r="E271" s="8" t="e">
        <f aca="false">C271*100/D271</f>
        <v>#DIV/0!</v>
      </c>
    </row>
    <row r="272" customFormat="false" ht="15.75" hidden="false" customHeight="true" outlineLevel="0" collapsed="false">
      <c r="E272" s="8" t="e">
        <f aca="false">C272*100/D272</f>
        <v>#DIV/0!</v>
      </c>
    </row>
    <row r="273" customFormat="false" ht="15.75" hidden="false" customHeight="true" outlineLevel="0" collapsed="false">
      <c r="E273" s="8" t="e">
        <f aca="false">C273*100/D273</f>
        <v>#DIV/0!</v>
      </c>
    </row>
    <row r="274" customFormat="false" ht="15.75" hidden="false" customHeight="true" outlineLevel="0" collapsed="false">
      <c r="E274" s="8" t="e">
        <f aca="false">C274*100/D274</f>
        <v>#DIV/0!</v>
      </c>
    </row>
    <row r="275" customFormat="false" ht="15.75" hidden="false" customHeight="true" outlineLevel="0" collapsed="false">
      <c r="E275" s="8" t="e">
        <f aca="false">C275*100/D275</f>
        <v>#DIV/0!</v>
      </c>
    </row>
    <row r="276" customFormat="false" ht="15.75" hidden="false" customHeight="true" outlineLevel="0" collapsed="false">
      <c r="E276" s="8" t="e">
        <f aca="false">C276*100/D276</f>
        <v>#DIV/0!</v>
      </c>
    </row>
    <row r="277" customFormat="false" ht="15.75" hidden="false" customHeight="true" outlineLevel="0" collapsed="false">
      <c r="E277" s="8" t="e">
        <f aca="false">C277*100/D277</f>
        <v>#DIV/0!</v>
      </c>
    </row>
    <row r="278" customFormat="false" ht="15.75" hidden="false" customHeight="true" outlineLevel="0" collapsed="false">
      <c r="E278" s="8" t="e">
        <f aca="false">C278*100/D278</f>
        <v>#DIV/0!</v>
      </c>
    </row>
    <row r="279" customFormat="false" ht="15.75" hidden="false" customHeight="true" outlineLevel="0" collapsed="false">
      <c r="E279" s="8" t="e">
        <f aca="false">C279*100/D279</f>
        <v>#DIV/0!</v>
      </c>
    </row>
    <row r="280" customFormat="false" ht="15.75" hidden="false" customHeight="true" outlineLevel="0" collapsed="false">
      <c r="E280" s="8" t="e">
        <f aca="false">C280*100/D280</f>
        <v>#DIV/0!</v>
      </c>
    </row>
    <row r="281" customFormat="false" ht="15.75" hidden="false" customHeight="true" outlineLevel="0" collapsed="false">
      <c r="E281" s="8" t="e">
        <f aca="false">C281*100/D281</f>
        <v>#DIV/0!</v>
      </c>
    </row>
    <row r="282" customFormat="false" ht="15.75" hidden="false" customHeight="true" outlineLevel="0" collapsed="false">
      <c r="E282" s="8" t="e">
        <f aca="false">C282*100/D282</f>
        <v>#DIV/0!</v>
      </c>
    </row>
    <row r="283" customFormat="false" ht="15.75" hidden="false" customHeight="true" outlineLevel="0" collapsed="false">
      <c r="E283" s="8" t="e">
        <f aca="false">C283*100/D283</f>
        <v>#DIV/0!</v>
      </c>
    </row>
    <row r="284" customFormat="false" ht="15.75" hidden="false" customHeight="true" outlineLevel="0" collapsed="false">
      <c r="E284" s="8" t="e">
        <f aca="false">C284*100/D284</f>
        <v>#DIV/0!</v>
      </c>
    </row>
    <row r="285" customFormat="false" ht="15.75" hidden="false" customHeight="true" outlineLevel="0" collapsed="false">
      <c r="E285" s="8" t="e">
        <f aca="false">C285*100/D285</f>
        <v>#DIV/0!</v>
      </c>
    </row>
    <row r="286" customFormat="false" ht="15.75" hidden="false" customHeight="true" outlineLevel="0" collapsed="false">
      <c r="E286" s="8" t="e">
        <f aca="false">C286*100/D286</f>
        <v>#DIV/0!</v>
      </c>
    </row>
    <row r="287" customFormat="false" ht="15.75" hidden="false" customHeight="true" outlineLevel="0" collapsed="false">
      <c r="E287" s="8" t="e">
        <f aca="false">C287*100/D287</f>
        <v>#DIV/0!</v>
      </c>
    </row>
    <row r="288" customFormat="false" ht="15.75" hidden="false" customHeight="true" outlineLevel="0" collapsed="false">
      <c r="E288" s="8" t="e">
        <f aca="false">C288*100/D288</f>
        <v>#DIV/0!</v>
      </c>
    </row>
    <row r="289" customFormat="false" ht="15.75" hidden="false" customHeight="true" outlineLevel="0" collapsed="false">
      <c r="E289" s="8" t="e">
        <f aca="false">C289*100/D289</f>
        <v>#DIV/0!</v>
      </c>
    </row>
    <row r="290" customFormat="false" ht="15.75" hidden="false" customHeight="true" outlineLevel="0" collapsed="false">
      <c r="E290" s="8" t="e">
        <f aca="false">C290*100/D290</f>
        <v>#DIV/0!</v>
      </c>
    </row>
    <row r="291" customFormat="false" ht="15.75" hidden="false" customHeight="true" outlineLevel="0" collapsed="false">
      <c r="E291" s="8" t="e">
        <f aca="false">C291*100/D291</f>
        <v>#DIV/0!</v>
      </c>
    </row>
    <row r="292" customFormat="false" ht="15.75" hidden="false" customHeight="true" outlineLevel="0" collapsed="false">
      <c r="E292" s="8" t="e">
        <f aca="false">C292*100/D292</f>
        <v>#DIV/0!</v>
      </c>
    </row>
    <row r="293" customFormat="false" ht="15.75" hidden="false" customHeight="true" outlineLevel="0" collapsed="false">
      <c r="E293" s="8" t="e">
        <f aca="false">C293*100/D293</f>
        <v>#DIV/0!</v>
      </c>
    </row>
    <row r="294" customFormat="false" ht="15.75" hidden="false" customHeight="true" outlineLevel="0" collapsed="false">
      <c r="E294" s="8" t="e">
        <f aca="false">C294*100/D294</f>
        <v>#DIV/0!</v>
      </c>
    </row>
    <row r="295" customFormat="false" ht="15.75" hidden="false" customHeight="true" outlineLevel="0" collapsed="false">
      <c r="E295" s="8" t="e">
        <f aca="false">C295*100/D295</f>
        <v>#DIV/0!</v>
      </c>
    </row>
    <row r="296" customFormat="false" ht="15.75" hidden="false" customHeight="true" outlineLevel="0" collapsed="false">
      <c r="E296" s="8" t="e">
        <f aca="false">C296*100/D296</f>
        <v>#DIV/0!</v>
      </c>
    </row>
    <row r="297" customFormat="false" ht="15.75" hidden="false" customHeight="true" outlineLevel="0" collapsed="false">
      <c r="E297" s="8" t="e">
        <f aca="false">C297*100/D297</f>
        <v>#DIV/0!</v>
      </c>
    </row>
    <row r="298" customFormat="false" ht="15.75" hidden="false" customHeight="true" outlineLevel="0" collapsed="false">
      <c r="E298" s="8" t="e">
        <f aca="false">C298*100/D298</f>
        <v>#DIV/0!</v>
      </c>
    </row>
    <row r="299" customFormat="false" ht="15.75" hidden="false" customHeight="true" outlineLevel="0" collapsed="false">
      <c r="E299" s="8" t="e">
        <f aca="false">C299*100/D299</f>
        <v>#DIV/0!</v>
      </c>
    </row>
    <row r="300" customFormat="false" ht="15.75" hidden="false" customHeight="true" outlineLevel="0" collapsed="false">
      <c r="E300" s="8" t="e">
        <f aca="false">C300*100/D300</f>
        <v>#DIV/0!</v>
      </c>
    </row>
    <row r="301" customFormat="false" ht="15.75" hidden="false" customHeight="true" outlineLevel="0" collapsed="false">
      <c r="E301" s="8" t="e">
        <f aca="false">C301*100/D301</f>
        <v>#DIV/0!</v>
      </c>
    </row>
    <row r="302" customFormat="false" ht="15.75" hidden="false" customHeight="true" outlineLevel="0" collapsed="false">
      <c r="E302" s="8" t="e">
        <f aca="false">C302*100/D302</f>
        <v>#DIV/0!</v>
      </c>
    </row>
    <row r="303" customFormat="false" ht="15.75" hidden="false" customHeight="true" outlineLevel="0" collapsed="false">
      <c r="E303" s="8" t="e">
        <f aca="false">C303*100/D303</f>
        <v>#DIV/0!</v>
      </c>
    </row>
    <row r="304" customFormat="false" ht="15.75" hidden="false" customHeight="true" outlineLevel="0" collapsed="false">
      <c r="E304" s="8" t="e">
        <f aca="false">C304*100/D304</f>
        <v>#DIV/0!</v>
      </c>
    </row>
    <row r="305" customFormat="false" ht="15.75" hidden="false" customHeight="true" outlineLevel="0" collapsed="false">
      <c r="E305" s="8" t="e">
        <f aca="false">C305*100/D305</f>
        <v>#DIV/0!</v>
      </c>
    </row>
    <row r="306" customFormat="false" ht="15.75" hidden="false" customHeight="true" outlineLevel="0" collapsed="false">
      <c r="E306" s="8" t="e">
        <f aca="false">C306*100/D306</f>
        <v>#DIV/0!</v>
      </c>
    </row>
    <row r="307" customFormat="false" ht="15.75" hidden="false" customHeight="true" outlineLevel="0" collapsed="false">
      <c r="E307" s="8" t="e">
        <f aca="false">C307*100/D307</f>
        <v>#DIV/0!</v>
      </c>
    </row>
    <row r="308" customFormat="false" ht="15.75" hidden="false" customHeight="true" outlineLevel="0" collapsed="false">
      <c r="E308" s="8" t="e">
        <f aca="false">C308*100/D308</f>
        <v>#DIV/0!</v>
      </c>
    </row>
    <row r="309" customFormat="false" ht="15.75" hidden="false" customHeight="true" outlineLevel="0" collapsed="false">
      <c r="E309" s="8" t="e">
        <f aca="false">C309*100/D309</f>
        <v>#DIV/0!</v>
      </c>
    </row>
    <row r="310" customFormat="false" ht="15.75" hidden="false" customHeight="true" outlineLevel="0" collapsed="false">
      <c r="E310" s="8" t="e">
        <f aca="false">C310*100/D310</f>
        <v>#DIV/0!</v>
      </c>
    </row>
    <row r="311" customFormat="false" ht="15.75" hidden="false" customHeight="true" outlineLevel="0" collapsed="false">
      <c r="E311" s="8" t="e">
        <f aca="false">C311*100/D311</f>
        <v>#DIV/0!</v>
      </c>
    </row>
    <row r="312" customFormat="false" ht="15.75" hidden="false" customHeight="true" outlineLevel="0" collapsed="false">
      <c r="E312" s="8" t="e">
        <f aca="false">C312*100/D312</f>
        <v>#DIV/0!</v>
      </c>
    </row>
    <row r="313" customFormat="false" ht="15.75" hidden="false" customHeight="true" outlineLevel="0" collapsed="false">
      <c r="E313" s="8" t="e">
        <f aca="false">C313*100/D313</f>
        <v>#DIV/0!</v>
      </c>
    </row>
    <row r="314" customFormat="false" ht="15.75" hidden="false" customHeight="true" outlineLevel="0" collapsed="false">
      <c r="E314" s="8" t="e">
        <f aca="false">C314*100/D314</f>
        <v>#DIV/0!</v>
      </c>
    </row>
    <row r="315" customFormat="false" ht="15.75" hidden="false" customHeight="true" outlineLevel="0" collapsed="false">
      <c r="E315" s="8" t="e">
        <f aca="false">C315*100/D315</f>
        <v>#DIV/0!</v>
      </c>
    </row>
    <row r="316" customFormat="false" ht="15.75" hidden="false" customHeight="true" outlineLevel="0" collapsed="false">
      <c r="E316" s="8" t="e">
        <f aca="false">C316*100/D316</f>
        <v>#DIV/0!</v>
      </c>
    </row>
    <row r="317" customFormat="false" ht="15.75" hidden="false" customHeight="true" outlineLevel="0" collapsed="false">
      <c r="E317" s="8" t="e">
        <f aca="false">C317*100/D317</f>
        <v>#DIV/0!</v>
      </c>
    </row>
    <row r="318" customFormat="false" ht="15.75" hidden="false" customHeight="true" outlineLevel="0" collapsed="false">
      <c r="E318" s="8" t="e">
        <f aca="false">C318*100/D318</f>
        <v>#DIV/0!</v>
      </c>
    </row>
    <row r="319" customFormat="false" ht="15.75" hidden="false" customHeight="true" outlineLevel="0" collapsed="false">
      <c r="E319" s="8" t="e">
        <f aca="false">C319*100/D319</f>
        <v>#DIV/0!</v>
      </c>
    </row>
    <row r="320" customFormat="false" ht="15.75" hidden="false" customHeight="true" outlineLevel="0" collapsed="false">
      <c r="E320" s="8" t="e">
        <f aca="false">C320*100/D320</f>
        <v>#DIV/0!</v>
      </c>
    </row>
    <row r="321" customFormat="false" ht="15.75" hidden="false" customHeight="true" outlineLevel="0" collapsed="false">
      <c r="E321" s="8" t="e">
        <f aca="false">C321*100/D321</f>
        <v>#DIV/0!</v>
      </c>
    </row>
    <row r="322" customFormat="false" ht="15.75" hidden="false" customHeight="true" outlineLevel="0" collapsed="false">
      <c r="E322" s="8" t="e">
        <f aca="false">C322*100/D322</f>
        <v>#DIV/0!</v>
      </c>
    </row>
    <row r="323" customFormat="false" ht="15.75" hidden="false" customHeight="true" outlineLevel="0" collapsed="false">
      <c r="E323" s="8" t="e">
        <f aca="false">C323*100/D323</f>
        <v>#DIV/0!</v>
      </c>
    </row>
    <row r="324" customFormat="false" ht="15.75" hidden="false" customHeight="true" outlineLevel="0" collapsed="false">
      <c r="E324" s="8" t="e">
        <f aca="false">C324*100/D324</f>
        <v>#DIV/0!</v>
      </c>
    </row>
    <row r="325" customFormat="false" ht="15.75" hidden="false" customHeight="true" outlineLevel="0" collapsed="false">
      <c r="E325" s="8" t="e">
        <f aca="false">C325*100/D325</f>
        <v>#DIV/0!</v>
      </c>
    </row>
    <row r="326" customFormat="false" ht="15.75" hidden="false" customHeight="true" outlineLevel="0" collapsed="false">
      <c r="E326" s="8" t="e">
        <f aca="false">C326*100/D326</f>
        <v>#DIV/0!</v>
      </c>
    </row>
    <row r="327" customFormat="false" ht="15.75" hidden="false" customHeight="true" outlineLevel="0" collapsed="false">
      <c r="E327" s="8" t="e">
        <f aca="false">C327*100/D327</f>
        <v>#DIV/0!</v>
      </c>
    </row>
    <row r="328" customFormat="false" ht="15.75" hidden="false" customHeight="true" outlineLevel="0" collapsed="false">
      <c r="E328" s="8" t="e">
        <f aca="false">C328*100/D328</f>
        <v>#DIV/0!</v>
      </c>
    </row>
    <row r="329" customFormat="false" ht="15.75" hidden="false" customHeight="true" outlineLevel="0" collapsed="false">
      <c r="E329" s="8" t="e">
        <f aca="false">C329*100/D329</f>
        <v>#DIV/0!</v>
      </c>
    </row>
    <row r="330" customFormat="false" ht="15.75" hidden="false" customHeight="true" outlineLevel="0" collapsed="false">
      <c r="E330" s="8" t="e">
        <f aca="false">C330*100/D330</f>
        <v>#DIV/0!</v>
      </c>
    </row>
    <row r="331" customFormat="false" ht="15.75" hidden="false" customHeight="true" outlineLevel="0" collapsed="false">
      <c r="E331" s="8" t="e">
        <f aca="false">C331*100/D331</f>
        <v>#DIV/0!</v>
      </c>
    </row>
    <row r="332" customFormat="false" ht="15.75" hidden="false" customHeight="true" outlineLevel="0" collapsed="false">
      <c r="E332" s="8" t="e">
        <f aca="false">C332*100/D332</f>
        <v>#DIV/0!</v>
      </c>
    </row>
    <row r="333" customFormat="false" ht="15.75" hidden="false" customHeight="true" outlineLevel="0" collapsed="false">
      <c r="E333" s="8" t="e">
        <f aca="false">C333*100/D333</f>
        <v>#DIV/0!</v>
      </c>
    </row>
    <row r="334" customFormat="false" ht="15.75" hidden="false" customHeight="true" outlineLevel="0" collapsed="false">
      <c r="E334" s="8" t="e">
        <f aca="false">C334*100/D334</f>
        <v>#DIV/0!</v>
      </c>
    </row>
    <row r="335" customFormat="false" ht="15.75" hidden="false" customHeight="true" outlineLevel="0" collapsed="false">
      <c r="E335" s="8" t="e">
        <f aca="false">C335*100/D335</f>
        <v>#DIV/0!</v>
      </c>
    </row>
    <row r="336" customFormat="false" ht="15.75" hidden="false" customHeight="true" outlineLevel="0" collapsed="false">
      <c r="E336" s="8" t="e">
        <f aca="false">C336*100/D336</f>
        <v>#DIV/0!</v>
      </c>
    </row>
    <row r="337" customFormat="false" ht="15.75" hidden="false" customHeight="true" outlineLevel="0" collapsed="false">
      <c r="E337" s="8" t="e">
        <f aca="false">C337*100/D337</f>
        <v>#DIV/0!</v>
      </c>
    </row>
    <row r="338" customFormat="false" ht="15.75" hidden="false" customHeight="true" outlineLevel="0" collapsed="false">
      <c r="E338" s="8" t="e">
        <f aca="false">C338*100/D338</f>
        <v>#DIV/0!</v>
      </c>
    </row>
    <row r="339" customFormat="false" ht="15.75" hidden="false" customHeight="true" outlineLevel="0" collapsed="false">
      <c r="E339" s="8" t="e">
        <f aca="false">C339*100/D339</f>
        <v>#DIV/0!</v>
      </c>
    </row>
    <row r="340" customFormat="false" ht="15.75" hidden="false" customHeight="true" outlineLevel="0" collapsed="false">
      <c r="E340" s="8" t="e">
        <f aca="false">C340*100/D340</f>
        <v>#DIV/0!</v>
      </c>
    </row>
    <row r="341" customFormat="false" ht="15.75" hidden="false" customHeight="true" outlineLevel="0" collapsed="false">
      <c r="E341" s="8" t="e">
        <f aca="false">C341*100/D341</f>
        <v>#DIV/0!</v>
      </c>
    </row>
    <row r="342" customFormat="false" ht="15.75" hidden="false" customHeight="true" outlineLevel="0" collapsed="false">
      <c r="E342" s="8" t="e">
        <f aca="false">C342*100/D342</f>
        <v>#DIV/0!</v>
      </c>
    </row>
    <row r="343" customFormat="false" ht="15.75" hidden="false" customHeight="true" outlineLevel="0" collapsed="false">
      <c r="E343" s="8" t="e">
        <f aca="false">C343*100/D343</f>
        <v>#DIV/0!</v>
      </c>
    </row>
    <row r="344" customFormat="false" ht="15.75" hidden="false" customHeight="true" outlineLevel="0" collapsed="false">
      <c r="E344" s="8" t="e">
        <f aca="false">C344*100/D344</f>
        <v>#DIV/0!</v>
      </c>
    </row>
    <row r="345" customFormat="false" ht="15.75" hidden="false" customHeight="true" outlineLevel="0" collapsed="false">
      <c r="E345" s="8" t="e">
        <f aca="false">C345*100/D345</f>
        <v>#DIV/0!</v>
      </c>
    </row>
    <row r="346" customFormat="false" ht="15.75" hidden="false" customHeight="true" outlineLevel="0" collapsed="false">
      <c r="E346" s="8" t="e">
        <f aca="false">C346*100/D346</f>
        <v>#DIV/0!</v>
      </c>
    </row>
    <row r="347" customFormat="false" ht="15.75" hidden="false" customHeight="true" outlineLevel="0" collapsed="false">
      <c r="E347" s="8" t="e">
        <f aca="false">C347*100/D347</f>
        <v>#DIV/0!</v>
      </c>
    </row>
    <row r="348" customFormat="false" ht="15.75" hidden="false" customHeight="true" outlineLevel="0" collapsed="false">
      <c r="E348" s="8" t="e">
        <f aca="false">C348*100/D348</f>
        <v>#DIV/0!</v>
      </c>
    </row>
    <row r="349" customFormat="false" ht="15.75" hidden="false" customHeight="true" outlineLevel="0" collapsed="false">
      <c r="E349" s="8" t="e">
        <f aca="false">C349*100/D349</f>
        <v>#DIV/0!</v>
      </c>
    </row>
    <row r="350" customFormat="false" ht="15.75" hidden="false" customHeight="true" outlineLevel="0" collapsed="false">
      <c r="E350" s="8" t="e">
        <f aca="false">C350*100/D350</f>
        <v>#DIV/0!</v>
      </c>
    </row>
    <row r="351" customFormat="false" ht="15.75" hidden="false" customHeight="true" outlineLevel="0" collapsed="false">
      <c r="E351" s="8" t="e">
        <f aca="false">C351*100/D351</f>
        <v>#DIV/0!</v>
      </c>
    </row>
    <row r="352" customFormat="false" ht="15.75" hidden="false" customHeight="true" outlineLevel="0" collapsed="false">
      <c r="E352" s="8" t="e">
        <f aca="false">C352*100/D352</f>
        <v>#DIV/0!</v>
      </c>
    </row>
    <row r="353" customFormat="false" ht="15.75" hidden="false" customHeight="true" outlineLevel="0" collapsed="false">
      <c r="E353" s="8" t="e">
        <f aca="false">C353*100/D353</f>
        <v>#DIV/0!</v>
      </c>
    </row>
    <row r="354" customFormat="false" ht="15.75" hidden="false" customHeight="true" outlineLevel="0" collapsed="false">
      <c r="E354" s="8" t="e">
        <f aca="false">C354*100/D354</f>
        <v>#DIV/0!</v>
      </c>
    </row>
    <row r="355" customFormat="false" ht="15.75" hidden="false" customHeight="true" outlineLevel="0" collapsed="false">
      <c r="E355" s="8" t="e">
        <f aca="false">C355*100/D355</f>
        <v>#DIV/0!</v>
      </c>
    </row>
    <row r="356" customFormat="false" ht="15.75" hidden="false" customHeight="true" outlineLevel="0" collapsed="false">
      <c r="E356" s="8" t="e">
        <f aca="false">C356*100/D356</f>
        <v>#DIV/0!</v>
      </c>
    </row>
    <row r="357" customFormat="false" ht="15.75" hidden="false" customHeight="true" outlineLevel="0" collapsed="false">
      <c r="E357" s="8" t="e">
        <f aca="false">C357*100/D357</f>
        <v>#DIV/0!</v>
      </c>
    </row>
    <row r="358" customFormat="false" ht="15.75" hidden="false" customHeight="true" outlineLevel="0" collapsed="false">
      <c r="E358" s="8" t="e">
        <f aca="false">C358*100/D358</f>
        <v>#DIV/0!</v>
      </c>
    </row>
    <row r="359" customFormat="false" ht="15.75" hidden="false" customHeight="true" outlineLevel="0" collapsed="false">
      <c r="E359" s="8" t="e">
        <f aca="false">C359*100/D359</f>
        <v>#DIV/0!</v>
      </c>
    </row>
    <row r="360" customFormat="false" ht="15.75" hidden="false" customHeight="true" outlineLevel="0" collapsed="false">
      <c r="E360" s="8" t="e">
        <f aca="false">C360*100/D360</f>
        <v>#DIV/0!</v>
      </c>
    </row>
    <row r="361" customFormat="false" ht="15.75" hidden="false" customHeight="true" outlineLevel="0" collapsed="false">
      <c r="E361" s="8" t="e">
        <f aca="false">C361*100/D361</f>
        <v>#DIV/0!</v>
      </c>
    </row>
    <row r="362" customFormat="false" ht="15.75" hidden="false" customHeight="true" outlineLevel="0" collapsed="false">
      <c r="E362" s="8" t="e">
        <f aca="false">C362*100/D362</f>
        <v>#DIV/0!</v>
      </c>
    </row>
    <row r="363" customFormat="false" ht="15.75" hidden="false" customHeight="true" outlineLevel="0" collapsed="false">
      <c r="E363" s="8" t="e">
        <f aca="false">C363*100/D363</f>
        <v>#DIV/0!</v>
      </c>
    </row>
    <row r="364" customFormat="false" ht="15.75" hidden="false" customHeight="true" outlineLevel="0" collapsed="false">
      <c r="E364" s="8" t="e">
        <f aca="false">C364*100/D364</f>
        <v>#DIV/0!</v>
      </c>
    </row>
    <row r="365" customFormat="false" ht="15.75" hidden="false" customHeight="true" outlineLevel="0" collapsed="false">
      <c r="E365" s="8" t="e">
        <f aca="false">C365*100/D365</f>
        <v>#DIV/0!</v>
      </c>
    </row>
    <row r="366" customFormat="false" ht="15.75" hidden="false" customHeight="true" outlineLevel="0" collapsed="false">
      <c r="E366" s="8" t="e">
        <f aca="false">C366*100/D366</f>
        <v>#DIV/0!</v>
      </c>
    </row>
    <row r="367" customFormat="false" ht="15.75" hidden="false" customHeight="true" outlineLevel="0" collapsed="false">
      <c r="E367" s="8" t="e">
        <f aca="false">C367*100/D367</f>
        <v>#DIV/0!</v>
      </c>
    </row>
    <row r="368" customFormat="false" ht="15.75" hidden="false" customHeight="true" outlineLevel="0" collapsed="false">
      <c r="E368" s="8" t="e">
        <f aca="false">C368*100/D368</f>
        <v>#DIV/0!</v>
      </c>
    </row>
    <row r="369" customFormat="false" ht="15.75" hidden="false" customHeight="true" outlineLevel="0" collapsed="false">
      <c r="E369" s="8" t="e">
        <f aca="false">C369*100/D369</f>
        <v>#DIV/0!</v>
      </c>
    </row>
    <row r="370" customFormat="false" ht="15.75" hidden="false" customHeight="true" outlineLevel="0" collapsed="false">
      <c r="E370" s="8" t="e">
        <f aca="false">C370*100/D370</f>
        <v>#DIV/0!</v>
      </c>
    </row>
    <row r="371" customFormat="false" ht="15.75" hidden="false" customHeight="true" outlineLevel="0" collapsed="false">
      <c r="E371" s="8" t="e">
        <f aca="false">C371*100/D371</f>
        <v>#DIV/0!</v>
      </c>
    </row>
    <row r="372" customFormat="false" ht="15.75" hidden="false" customHeight="true" outlineLevel="0" collapsed="false">
      <c r="E372" s="8" t="e">
        <f aca="false">C372*100/D372</f>
        <v>#DIV/0!</v>
      </c>
    </row>
    <row r="373" customFormat="false" ht="15.75" hidden="false" customHeight="true" outlineLevel="0" collapsed="false">
      <c r="E373" s="8" t="e">
        <f aca="false">C373*100/D373</f>
        <v>#DIV/0!</v>
      </c>
    </row>
    <row r="374" customFormat="false" ht="15.75" hidden="false" customHeight="true" outlineLevel="0" collapsed="false">
      <c r="E374" s="8" t="e">
        <f aca="false">C374*100/D374</f>
        <v>#DIV/0!</v>
      </c>
    </row>
    <row r="375" customFormat="false" ht="15.75" hidden="false" customHeight="true" outlineLevel="0" collapsed="false">
      <c r="E375" s="8" t="e">
        <f aca="false">C375*100/D375</f>
        <v>#DIV/0!</v>
      </c>
    </row>
    <row r="376" customFormat="false" ht="15.75" hidden="false" customHeight="true" outlineLevel="0" collapsed="false">
      <c r="E376" s="8" t="e">
        <f aca="false">C376*100/D376</f>
        <v>#DIV/0!</v>
      </c>
    </row>
    <row r="377" customFormat="false" ht="15.75" hidden="false" customHeight="true" outlineLevel="0" collapsed="false">
      <c r="E377" s="8" t="e">
        <f aca="false">C377*100/D377</f>
        <v>#DIV/0!</v>
      </c>
    </row>
    <row r="378" customFormat="false" ht="15.75" hidden="false" customHeight="true" outlineLevel="0" collapsed="false">
      <c r="E378" s="8" t="e">
        <f aca="false">C378*100/D378</f>
        <v>#DIV/0!</v>
      </c>
    </row>
    <row r="379" customFormat="false" ht="15.75" hidden="false" customHeight="true" outlineLevel="0" collapsed="false">
      <c r="E379" s="8" t="e">
        <f aca="false">C379*100/D379</f>
        <v>#DIV/0!</v>
      </c>
    </row>
    <row r="380" customFormat="false" ht="15.75" hidden="false" customHeight="true" outlineLevel="0" collapsed="false">
      <c r="E380" s="8" t="e">
        <f aca="false">C380*100/D380</f>
        <v>#DIV/0!</v>
      </c>
    </row>
    <row r="381" customFormat="false" ht="15.75" hidden="false" customHeight="true" outlineLevel="0" collapsed="false">
      <c r="E381" s="8" t="e">
        <f aca="false">C381*100/D381</f>
        <v>#DIV/0!</v>
      </c>
    </row>
    <row r="382" customFormat="false" ht="15.75" hidden="false" customHeight="true" outlineLevel="0" collapsed="false">
      <c r="E382" s="8" t="e">
        <f aca="false">C382*100/D382</f>
        <v>#DIV/0!</v>
      </c>
    </row>
    <row r="383" customFormat="false" ht="15.75" hidden="false" customHeight="true" outlineLevel="0" collapsed="false">
      <c r="E383" s="8" t="e">
        <f aca="false">C383*100/D383</f>
        <v>#DIV/0!</v>
      </c>
    </row>
    <row r="384" customFormat="false" ht="15.75" hidden="false" customHeight="true" outlineLevel="0" collapsed="false">
      <c r="E384" s="8" t="e">
        <f aca="false">C384*100/D384</f>
        <v>#DIV/0!</v>
      </c>
    </row>
    <row r="385" customFormat="false" ht="15.75" hidden="false" customHeight="true" outlineLevel="0" collapsed="false">
      <c r="E385" s="8" t="e">
        <f aca="false">C385*100/D385</f>
        <v>#DIV/0!</v>
      </c>
    </row>
    <row r="386" customFormat="false" ht="15.75" hidden="false" customHeight="true" outlineLevel="0" collapsed="false">
      <c r="E386" s="8" t="e">
        <f aca="false">C386*100/D386</f>
        <v>#DIV/0!</v>
      </c>
    </row>
    <row r="387" customFormat="false" ht="15.75" hidden="false" customHeight="true" outlineLevel="0" collapsed="false">
      <c r="E387" s="8" t="e">
        <f aca="false">C387*100/D387</f>
        <v>#DIV/0!</v>
      </c>
    </row>
    <row r="388" customFormat="false" ht="15.75" hidden="false" customHeight="true" outlineLevel="0" collapsed="false">
      <c r="E388" s="8" t="e">
        <f aca="false">C388*100/D388</f>
        <v>#DIV/0!</v>
      </c>
    </row>
    <row r="389" customFormat="false" ht="15.75" hidden="false" customHeight="true" outlineLevel="0" collapsed="false">
      <c r="E389" s="8" t="e">
        <f aca="false">C389*100/D389</f>
        <v>#DIV/0!</v>
      </c>
    </row>
    <row r="390" customFormat="false" ht="15.75" hidden="false" customHeight="true" outlineLevel="0" collapsed="false">
      <c r="E390" s="8" t="e">
        <f aca="false">C390*100/D390</f>
        <v>#DIV/0!</v>
      </c>
    </row>
    <row r="391" customFormat="false" ht="15.75" hidden="false" customHeight="true" outlineLevel="0" collapsed="false">
      <c r="E391" s="8" t="e">
        <f aca="false">C391*100/D391</f>
        <v>#DIV/0!</v>
      </c>
    </row>
    <row r="392" customFormat="false" ht="15.75" hidden="false" customHeight="true" outlineLevel="0" collapsed="false">
      <c r="E392" s="8" t="e">
        <f aca="false">C392*100/D392</f>
        <v>#DIV/0!</v>
      </c>
    </row>
    <row r="393" customFormat="false" ht="15.75" hidden="false" customHeight="true" outlineLevel="0" collapsed="false">
      <c r="E393" s="8" t="e">
        <f aca="false">C393*100/D393</f>
        <v>#DIV/0!</v>
      </c>
    </row>
    <row r="394" customFormat="false" ht="15.75" hidden="false" customHeight="true" outlineLevel="0" collapsed="false">
      <c r="E394" s="8" t="e">
        <f aca="false">C394*100/D394</f>
        <v>#DIV/0!</v>
      </c>
    </row>
    <row r="395" customFormat="false" ht="15.75" hidden="false" customHeight="true" outlineLevel="0" collapsed="false">
      <c r="E395" s="8" t="e">
        <f aca="false">C395*100/D395</f>
        <v>#DIV/0!</v>
      </c>
    </row>
    <row r="396" customFormat="false" ht="15.75" hidden="false" customHeight="true" outlineLevel="0" collapsed="false">
      <c r="E396" s="8" t="e">
        <f aca="false">C396*100/D396</f>
        <v>#DIV/0!</v>
      </c>
    </row>
    <row r="397" customFormat="false" ht="15.75" hidden="false" customHeight="true" outlineLevel="0" collapsed="false">
      <c r="E397" s="8" t="e">
        <f aca="false">C397*100/D397</f>
        <v>#DIV/0!</v>
      </c>
    </row>
    <row r="398" customFormat="false" ht="15.75" hidden="false" customHeight="true" outlineLevel="0" collapsed="false">
      <c r="E398" s="8" t="e">
        <f aca="false">C398*100/D398</f>
        <v>#DIV/0!</v>
      </c>
    </row>
    <row r="399" customFormat="false" ht="15.75" hidden="false" customHeight="true" outlineLevel="0" collapsed="false">
      <c r="E399" s="8" t="e">
        <f aca="false">C399*100/D399</f>
        <v>#DIV/0!</v>
      </c>
    </row>
    <row r="400" customFormat="false" ht="15.75" hidden="false" customHeight="true" outlineLevel="0" collapsed="false">
      <c r="E400" s="8" t="e">
        <f aca="false">C400*100/D400</f>
        <v>#DIV/0!</v>
      </c>
    </row>
    <row r="401" customFormat="false" ht="15.75" hidden="false" customHeight="true" outlineLevel="0" collapsed="false">
      <c r="E401" s="8" t="e">
        <f aca="false">C401*100/D401</f>
        <v>#DIV/0!</v>
      </c>
    </row>
    <row r="402" customFormat="false" ht="15.75" hidden="false" customHeight="true" outlineLevel="0" collapsed="false">
      <c r="E402" s="8" t="e">
        <f aca="false">C402*100/D402</f>
        <v>#DIV/0!</v>
      </c>
    </row>
    <row r="403" customFormat="false" ht="15.75" hidden="false" customHeight="true" outlineLevel="0" collapsed="false">
      <c r="E403" s="8" t="e">
        <f aca="false">C403*100/D403</f>
        <v>#DIV/0!</v>
      </c>
    </row>
    <row r="404" customFormat="false" ht="15.75" hidden="false" customHeight="true" outlineLevel="0" collapsed="false">
      <c r="E404" s="8" t="e">
        <f aca="false">C404*100/D404</f>
        <v>#DIV/0!</v>
      </c>
    </row>
    <row r="405" customFormat="false" ht="15.75" hidden="false" customHeight="true" outlineLevel="0" collapsed="false">
      <c r="E405" s="8" t="e">
        <f aca="false">C405*100/D405</f>
        <v>#DIV/0!</v>
      </c>
    </row>
    <row r="406" customFormat="false" ht="15.75" hidden="false" customHeight="true" outlineLevel="0" collapsed="false">
      <c r="E406" s="8" t="e">
        <f aca="false">C406*100/D406</f>
        <v>#DIV/0!</v>
      </c>
    </row>
    <row r="407" customFormat="false" ht="15.75" hidden="false" customHeight="true" outlineLevel="0" collapsed="false">
      <c r="E407" s="8" t="e">
        <f aca="false">C407*100/D407</f>
        <v>#DIV/0!</v>
      </c>
    </row>
    <row r="408" customFormat="false" ht="15.75" hidden="false" customHeight="true" outlineLevel="0" collapsed="false">
      <c r="E408" s="8" t="e">
        <f aca="false">C408*100/D408</f>
        <v>#DIV/0!</v>
      </c>
    </row>
    <row r="409" customFormat="false" ht="15.75" hidden="false" customHeight="true" outlineLevel="0" collapsed="false">
      <c r="E409" s="8" t="e">
        <f aca="false">C409*100/D409</f>
        <v>#DIV/0!</v>
      </c>
    </row>
    <row r="410" customFormat="false" ht="15.75" hidden="false" customHeight="true" outlineLevel="0" collapsed="false">
      <c r="E410" s="8" t="e">
        <f aca="false">C410*100/D410</f>
        <v>#DIV/0!</v>
      </c>
    </row>
    <row r="411" customFormat="false" ht="15.75" hidden="false" customHeight="true" outlineLevel="0" collapsed="false">
      <c r="E411" s="8" t="e">
        <f aca="false">C411*100/D411</f>
        <v>#DIV/0!</v>
      </c>
    </row>
    <row r="412" customFormat="false" ht="15.75" hidden="false" customHeight="true" outlineLevel="0" collapsed="false">
      <c r="E412" s="8" t="e">
        <f aca="false">C412*100/D412</f>
        <v>#DIV/0!</v>
      </c>
    </row>
    <row r="413" customFormat="false" ht="15.75" hidden="false" customHeight="true" outlineLevel="0" collapsed="false">
      <c r="E413" s="8" t="e">
        <f aca="false">C413*100/D413</f>
        <v>#DIV/0!</v>
      </c>
    </row>
    <row r="414" customFormat="false" ht="15.75" hidden="false" customHeight="true" outlineLevel="0" collapsed="false">
      <c r="E414" s="8" t="e">
        <f aca="false">C414*100/D414</f>
        <v>#DIV/0!</v>
      </c>
    </row>
    <row r="415" customFormat="false" ht="15.75" hidden="false" customHeight="true" outlineLevel="0" collapsed="false">
      <c r="E415" s="8" t="e">
        <f aca="false">C415*100/D415</f>
        <v>#DIV/0!</v>
      </c>
    </row>
    <row r="416" customFormat="false" ht="15.75" hidden="false" customHeight="true" outlineLevel="0" collapsed="false">
      <c r="E416" s="8" t="e">
        <f aca="false">C416*100/D416</f>
        <v>#DIV/0!</v>
      </c>
    </row>
    <row r="417" customFormat="false" ht="15.75" hidden="false" customHeight="true" outlineLevel="0" collapsed="false">
      <c r="E417" s="8" t="e">
        <f aca="false">C417*100/D417</f>
        <v>#DIV/0!</v>
      </c>
    </row>
    <row r="418" customFormat="false" ht="15.75" hidden="false" customHeight="true" outlineLevel="0" collapsed="false">
      <c r="E418" s="8" t="e">
        <f aca="false">C418*100/D418</f>
        <v>#DIV/0!</v>
      </c>
    </row>
    <row r="419" customFormat="false" ht="15.75" hidden="false" customHeight="true" outlineLevel="0" collapsed="false">
      <c r="E419" s="8" t="e">
        <f aca="false">C419*100/D419</f>
        <v>#DIV/0!</v>
      </c>
    </row>
    <row r="420" customFormat="false" ht="15.75" hidden="false" customHeight="true" outlineLevel="0" collapsed="false">
      <c r="E420" s="8" t="e">
        <f aca="false">C420*100/D420</f>
        <v>#DIV/0!</v>
      </c>
    </row>
    <row r="421" customFormat="false" ht="15.75" hidden="false" customHeight="true" outlineLevel="0" collapsed="false">
      <c r="E421" s="8" t="e">
        <f aca="false">C421*100/D421</f>
        <v>#DIV/0!</v>
      </c>
    </row>
    <row r="422" customFormat="false" ht="15.75" hidden="false" customHeight="true" outlineLevel="0" collapsed="false">
      <c r="E422" s="8" t="e">
        <f aca="false">C422*100/D422</f>
        <v>#DIV/0!</v>
      </c>
    </row>
    <row r="423" customFormat="false" ht="15.75" hidden="false" customHeight="true" outlineLevel="0" collapsed="false">
      <c r="E423" s="8" t="e">
        <f aca="false">C423*100/D423</f>
        <v>#DIV/0!</v>
      </c>
    </row>
    <row r="424" customFormat="false" ht="15.75" hidden="false" customHeight="true" outlineLevel="0" collapsed="false">
      <c r="E424" s="8" t="e">
        <f aca="false">C424*100/D424</f>
        <v>#DIV/0!</v>
      </c>
    </row>
    <row r="425" customFormat="false" ht="15.75" hidden="false" customHeight="true" outlineLevel="0" collapsed="false">
      <c r="E425" s="8" t="e">
        <f aca="false">C425*100/D425</f>
        <v>#DIV/0!</v>
      </c>
    </row>
    <row r="426" customFormat="false" ht="15.75" hidden="false" customHeight="true" outlineLevel="0" collapsed="false">
      <c r="E426" s="8" t="e">
        <f aca="false">C426*100/D426</f>
        <v>#DIV/0!</v>
      </c>
    </row>
    <row r="427" customFormat="false" ht="15.75" hidden="false" customHeight="true" outlineLevel="0" collapsed="false">
      <c r="E427" s="8" t="e">
        <f aca="false">C427*100/D427</f>
        <v>#DIV/0!</v>
      </c>
    </row>
    <row r="428" customFormat="false" ht="15.75" hidden="false" customHeight="true" outlineLevel="0" collapsed="false">
      <c r="E428" s="8" t="e">
        <f aca="false">C428*100/D428</f>
        <v>#DIV/0!</v>
      </c>
    </row>
    <row r="429" customFormat="false" ht="15.75" hidden="false" customHeight="true" outlineLevel="0" collapsed="false">
      <c r="E429" s="8" t="e">
        <f aca="false">C429*100/D429</f>
        <v>#DIV/0!</v>
      </c>
    </row>
    <row r="430" customFormat="false" ht="15.75" hidden="false" customHeight="true" outlineLevel="0" collapsed="false">
      <c r="E430" s="8" t="e">
        <f aca="false">C430*100/D430</f>
        <v>#DIV/0!</v>
      </c>
    </row>
    <row r="431" customFormat="false" ht="15.75" hidden="false" customHeight="true" outlineLevel="0" collapsed="false">
      <c r="E431" s="8" t="e">
        <f aca="false">C431*100/D431</f>
        <v>#DIV/0!</v>
      </c>
    </row>
    <row r="432" customFormat="false" ht="15.75" hidden="false" customHeight="true" outlineLevel="0" collapsed="false">
      <c r="E432" s="8" t="e">
        <f aca="false">C432*100/D432</f>
        <v>#DIV/0!</v>
      </c>
    </row>
    <row r="433" customFormat="false" ht="15.75" hidden="false" customHeight="true" outlineLevel="0" collapsed="false">
      <c r="E433" s="8" t="e">
        <f aca="false">C433*100/D433</f>
        <v>#DIV/0!</v>
      </c>
    </row>
    <row r="434" customFormat="false" ht="15.75" hidden="false" customHeight="true" outlineLevel="0" collapsed="false">
      <c r="E434" s="8" t="e">
        <f aca="false">C434*100/D434</f>
        <v>#DIV/0!</v>
      </c>
    </row>
    <row r="435" customFormat="false" ht="15.75" hidden="false" customHeight="true" outlineLevel="0" collapsed="false">
      <c r="E435" s="8" t="e">
        <f aca="false">C435*100/D435</f>
        <v>#DIV/0!</v>
      </c>
    </row>
    <row r="436" customFormat="false" ht="15.75" hidden="false" customHeight="true" outlineLevel="0" collapsed="false">
      <c r="E436" s="8" t="e">
        <f aca="false">C436*100/D436</f>
        <v>#DIV/0!</v>
      </c>
    </row>
    <row r="437" customFormat="false" ht="15.75" hidden="false" customHeight="true" outlineLevel="0" collapsed="false">
      <c r="E437" s="8" t="e">
        <f aca="false">C437*100/D437</f>
        <v>#DIV/0!</v>
      </c>
    </row>
    <row r="438" customFormat="false" ht="15.75" hidden="false" customHeight="true" outlineLevel="0" collapsed="false">
      <c r="E438" s="8" t="e">
        <f aca="false">C438*100/D438</f>
        <v>#DIV/0!</v>
      </c>
    </row>
    <row r="439" customFormat="false" ht="15.75" hidden="false" customHeight="true" outlineLevel="0" collapsed="false">
      <c r="E439" s="8" t="e">
        <f aca="false">C439*100/D439</f>
        <v>#DIV/0!</v>
      </c>
    </row>
    <row r="440" customFormat="false" ht="15.75" hidden="false" customHeight="true" outlineLevel="0" collapsed="false">
      <c r="E440" s="8" t="e">
        <f aca="false">C440*100/D440</f>
        <v>#DIV/0!</v>
      </c>
    </row>
    <row r="441" customFormat="false" ht="15.75" hidden="false" customHeight="true" outlineLevel="0" collapsed="false">
      <c r="E441" s="8" t="e">
        <f aca="false">C441*100/D441</f>
        <v>#DIV/0!</v>
      </c>
    </row>
    <row r="442" customFormat="false" ht="15.75" hidden="false" customHeight="true" outlineLevel="0" collapsed="false">
      <c r="E442" s="8" t="e">
        <f aca="false">C442*100/D442</f>
        <v>#DIV/0!</v>
      </c>
    </row>
    <row r="443" customFormat="false" ht="15.75" hidden="false" customHeight="true" outlineLevel="0" collapsed="false">
      <c r="E443" s="8" t="e">
        <f aca="false">C443*100/D443</f>
        <v>#DIV/0!</v>
      </c>
    </row>
    <row r="444" customFormat="false" ht="15.75" hidden="false" customHeight="true" outlineLevel="0" collapsed="false">
      <c r="E444" s="8" t="e">
        <f aca="false">C444*100/D444</f>
        <v>#DIV/0!</v>
      </c>
    </row>
    <row r="445" customFormat="false" ht="15.75" hidden="false" customHeight="true" outlineLevel="0" collapsed="false">
      <c r="E445" s="8" t="e">
        <f aca="false">C445*100/D445</f>
        <v>#DIV/0!</v>
      </c>
    </row>
    <row r="446" customFormat="false" ht="15.75" hidden="false" customHeight="true" outlineLevel="0" collapsed="false">
      <c r="E446" s="8" t="e">
        <f aca="false">C446*100/D446</f>
        <v>#DIV/0!</v>
      </c>
    </row>
    <row r="447" customFormat="false" ht="15.75" hidden="false" customHeight="true" outlineLevel="0" collapsed="false">
      <c r="E447" s="8" t="e">
        <f aca="false">C447*100/D447</f>
        <v>#DIV/0!</v>
      </c>
    </row>
    <row r="448" customFormat="false" ht="15.75" hidden="false" customHeight="true" outlineLevel="0" collapsed="false">
      <c r="E448" s="8" t="e">
        <f aca="false">C448*100/D448</f>
        <v>#DIV/0!</v>
      </c>
    </row>
    <row r="449" customFormat="false" ht="15.75" hidden="false" customHeight="true" outlineLevel="0" collapsed="false">
      <c r="E449" s="8" t="e">
        <f aca="false">C449*100/D449</f>
        <v>#DIV/0!</v>
      </c>
    </row>
    <row r="450" customFormat="false" ht="15.75" hidden="false" customHeight="true" outlineLevel="0" collapsed="false">
      <c r="E450" s="8" t="e">
        <f aca="false">C450*100/D450</f>
        <v>#DIV/0!</v>
      </c>
    </row>
    <row r="451" customFormat="false" ht="15.75" hidden="false" customHeight="true" outlineLevel="0" collapsed="false">
      <c r="E451" s="8" t="e">
        <f aca="false">C451*100/D451</f>
        <v>#DIV/0!</v>
      </c>
    </row>
    <row r="452" customFormat="false" ht="15.75" hidden="false" customHeight="true" outlineLevel="0" collapsed="false">
      <c r="E452" s="8" t="e">
        <f aca="false">C452*100/D452</f>
        <v>#DIV/0!</v>
      </c>
    </row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E1"/>
  </mergeCells>
  <conditionalFormatting sqref="E5:E452">
    <cfRule type="expression" priority="2" aboveAverage="0" equalAverage="0" bottom="0" percent="0" rank="0" text="" dxfId="15">
      <formula>ISERROR(E5)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B4B4"/>
    <pageSetUpPr fitToPage="false"/>
  </sheetPr>
  <dimension ref="A1:P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customHeight="true" zeroHeight="false" outlineLevelRow="0" outlineLevelCol="0"/>
  <cols>
    <col collapsed="false" customWidth="true" hidden="false" outlineLevel="0" max="26" min="1" style="1" width="8.67"/>
  </cols>
  <sheetData>
    <row r="1" customFormat="false" ht="15" hidden="false" customHeight="false" outlineLevel="0" collapsed="false">
      <c r="G1" s="135" t="s">
        <v>370</v>
      </c>
      <c r="H1" s="135"/>
      <c r="I1" s="135"/>
      <c r="J1" s="135"/>
    </row>
    <row r="3" customFormat="false" ht="15" hidden="false" customHeight="false" outlineLevel="0" collapsed="false">
      <c r="A3" s="136" t="s">
        <v>364</v>
      </c>
      <c r="B3" s="136"/>
      <c r="C3" s="136"/>
      <c r="D3" s="136"/>
      <c r="E3" s="136"/>
      <c r="F3" s="136"/>
      <c r="G3" s="136"/>
      <c r="J3" s="136" t="s">
        <v>364</v>
      </c>
      <c r="K3" s="136"/>
      <c r="L3" s="136"/>
      <c r="M3" s="136"/>
      <c r="N3" s="136"/>
      <c r="O3" s="136"/>
      <c r="P3" s="136"/>
    </row>
    <row r="4" customFormat="false" ht="15" hidden="false" customHeight="false" outlineLevel="0" collapsed="false">
      <c r="A4" s="137"/>
      <c r="B4" s="138" t="s">
        <v>371</v>
      </c>
      <c r="C4" s="138" t="s">
        <v>371</v>
      </c>
      <c r="D4" s="138" t="s">
        <v>371</v>
      </c>
      <c r="E4" s="138" t="s">
        <v>371</v>
      </c>
      <c r="F4" s="138" t="s">
        <v>371</v>
      </c>
      <c r="G4" s="139" t="s">
        <v>371</v>
      </c>
      <c r="J4" s="137"/>
      <c r="K4" s="138" t="s">
        <v>371</v>
      </c>
      <c r="L4" s="138" t="s">
        <v>371</v>
      </c>
      <c r="M4" s="138" t="s">
        <v>371</v>
      </c>
      <c r="N4" s="138" t="s">
        <v>371</v>
      </c>
      <c r="O4" s="138" t="s">
        <v>371</v>
      </c>
      <c r="P4" s="139" t="s">
        <v>371</v>
      </c>
    </row>
    <row r="5" customFormat="false" ht="15" hidden="false" customHeight="false" outlineLevel="0" collapsed="false">
      <c r="A5" s="140" t="s">
        <v>1</v>
      </c>
      <c r="B5" s="4"/>
      <c r="C5" s="4"/>
      <c r="D5" s="4"/>
      <c r="E5" s="4"/>
      <c r="F5" s="4"/>
      <c r="G5" s="141"/>
      <c r="J5" s="140" t="s">
        <v>1</v>
      </c>
      <c r="K5" s="4"/>
      <c r="L5" s="4"/>
      <c r="M5" s="4"/>
      <c r="N5" s="4"/>
      <c r="O5" s="4"/>
      <c r="P5" s="141"/>
    </row>
    <row r="6" customFormat="false" ht="15" hidden="false" customHeight="false" outlineLevel="0" collapsed="false">
      <c r="A6" s="140" t="s">
        <v>6</v>
      </c>
      <c r="B6" s="4"/>
      <c r="C6" s="4"/>
      <c r="D6" s="4"/>
      <c r="E6" s="4"/>
      <c r="F6" s="4"/>
      <c r="G6" s="141"/>
      <c r="J6" s="140" t="s">
        <v>6</v>
      </c>
      <c r="K6" s="4"/>
      <c r="L6" s="4"/>
      <c r="M6" s="4"/>
      <c r="N6" s="4"/>
      <c r="O6" s="4"/>
      <c r="P6" s="141"/>
    </row>
    <row r="7" customFormat="false" ht="15" hidden="false" customHeight="false" outlineLevel="0" collapsed="false">
      <c r="A7" s="140" t="s">
        <v>243</v>
      </c>
      <c r="B7" s="4"/>
      <c r="C7" s="4"/>
      <c r="D7" s="4"/>
      <c r="E7" s="4"/>
      <c r="F7" s="4"/>
      <c r="G7" s="141"/>
      <c r="J7" s="140" t="s">
        <v>243</v>
      </c>
      <c r="K7" s="4"/>
      <c r="L7" s="4"/>
      <c r="M7" s="4"/>
      <c r="N7" s="4"/>
      <c r="O7" s="4"/>
      <c r="P7" s="141"/>
    </row>
    <row r="8" customFormat="false" ht="15" hidden="false" customHeight="false" outlineLevel="0" collapsed="false">
      <c r="A8" s="140" t="s">
        <v>372</v>
      </c>
      <c r="B8" s="4"/>
      <c r="C8" s="4"/>
      <c r="D8" s="4"/>
      <c r="E8" s="4"/>
      <c r="F8" s="4"/>
      <c r="G8" s="141"/>
      <c r="J8" s="140" t="s">
        <v>372</v>
      </c>
      <c r="K8" s="4"/>
      <c r="L8" s="4"/>
      <c r="M8" s="4"/>
      <c r="N8" s="4"/>
      <c r="O8" s="4"/>
      <c r="P8" s="141"/>
    </row>
    <row r="9" customFormat="false" ht="15" hidden="false" customHeight="false" outlineLevel="0" collapsed="false">
      <c r="A9" s="142" t="s">
        <v>3</v>
      </c>
      <c r="B9" s="143"/>
      <c r="C9" s="143"/>
      <c r="D9" s="143"/>
      <c r="E9" s="143"/>
      <c r="F9" s="143"/>
      <c r="G9" s="144"/>
      <c r="J9" s="142" t="s">
        <v>3</v>
      </c>
      <c r="K9" s="143"/>
      <c r="L9" s="143"/>
      <c r="M9" s="143"/>
      <c r="N9" s="143"/>
      <c r="O9" s="143"/>
      <c r="P9" s="144"/>
    </row>
    <row r="13" customFormat="false" ht="15" hidden="false" customHeight="false" outlineLevel="0" collapsed="false">
      <c r="A13" s="136" t="s">
        <v>364</v>
      </c>
      <c r="B13" s="136"/>
      <c r="C13" s="136"/>
      <c r="D13" s="136"/>
      <c r="E13" s="136"/>
      <c r="F13" s="136"/>
      <c r="G13" s="136"/>
      <c r="J13" s="136" t="s">
        <v>364</v>
      </c>
      <c r="K13" s="136"/>
      <c r="L13" s="136"/>
      <c r="M13" s="136"/>
      <c r="N13" s="136"/>
      <c r="O13" s="136"/>
      <c r="P13" s="136"/>
    </row>
    <row r="14" customFormat="false" ht="15" hidden="false" customHeight="false" outlineLevel="0" collapsed="false">
      <c r="A14" s="137"/>
      <c r="B14" s="138" t="s">
        <v>371</v>
      </c>
      <c r="C14" s="138" t="s">
        <v>371</v>
      </c>
      <c r="D14" s="138" t="s">
        <v>371</v>
      </c>
      <c r="E14" s="138" t="s">
        <v>371</v>
      </c>
      <c r="F14" s="138" t="s">
        <v>371</v>
      </c>
      <c r="G14" s="139" t="s">
        <v>371</v>
      </c>
      <c r="J14" s="137"/>
      <c r="K14" s="138" t="s">
        <v>371</v>
      </c>
      <c r="L14" s="138" t="s">
        <v>371</v>
      </c>
      <c r="M14" s="138" t="s">
        <v>371</v>
      </c>
      <c r="N14" s="138" t="s">
        <v>371</v>
      </c>
      <c r="O14" s="138" t="s">
        <v>371</v>
      </c>
      <c r="P14" s="139" t="s">
        <v>371</v>
      </c>
    </row>
    <row r="15" customFormat="false" ht="15" hidden="false" customHeight="false" outlineLevel="0" collapsed="false">
      <c r="A15" s="140" t="s">
        <v>1</v>
      </c>
      <c r="B15" s="4"/>
      <c r="C15" s="4"/>
      <c r="D15" s="4"/>
      <c r="E15" s="4"/>
      <c r="F15" s="4"/>
      <c r="G15" s="141"/>
      <c r="J15" s="140" t="s">
        <v>1</v>
      </c>
      <c r="K15" s="4"/>
      <c r="L15" s="4"/>
      <c r="M15" s="4"/>
      <c r="N15" s="4"/>
      <c r="O15" s="4"/>
      <c r="P15" s="141"/>
    </row>
    <row r="16" customFormat="false" ht="15" hidden="false" customHeight="false" outlineLevel="0" collapsed="false">
      <c r="A16" s="140" t="s">
        <v>6</v>
      </c>
      <c r="B16" s="4"/>
      <c r="C16" s="4"/>
      <c r="D16" s="4"/>
      <c r="E16" s="4"/>
      <c r="F16" s="4"/>
      <c r="G16" s="141"/>
      <c r="J16" s="140" t="s">
        <v>6</v>
      </c>
      <c r="K16" s="4"/>
      <c r="L16" s="4"/>
      <c r="M16" s="4"/>
      <c r="N16" s="4"/>
      <c r="O16" s="4"/>
      <c r="P16" s="141"/>
    </row>
    <row r="17" customFormat="false" ht="15" hidden="false" customHeight="false" outlineLevel="0" collapsed="false">
      <c r="A17" s="140" t="s">
        <v>243</v>
      </c>
      <c r="B17" s="4"/>
      <c r="C17" s="4"/>
      <c r="D17" s="4"/>
      <c r="E17" s="4"/>
      <c r="F17" s="4"/>
      <c r="G17" s="141"/>
      <c r="J17" s="140" t="s">
        <v>243</v>
      </c>
      <c r="K17" s="4"/>
      <c r="L17" s="4"/>
      <c r="M17" s="4"/>
      <c r="N17" s="4"/>
      <c r="O17" s="4"/>
      <c r="P17" s="141"/>
    </row>
    <row r="18" customFormat="false" ht="15" hidden="false" customHeight="false" outlineLevel="0" collapsed="false">
      <c r="A18" s="140" t="s">
        <v>372</v>
      </c>
      <c r="B18" s="4"/>
      <c r="C18" s="4"/>
      <c r="D18" s="4"/>
      <c r="E18" s="4"/>
      <c r="F18" s="4"/>
      <c r="G18" s="141"/>
      <c r="J18" s="140" t="s">
        <v>372</v>
      </c>
      <c r="K18" s="4"/>
      <c r="L18" s="4"/>
      <c r="M18" s="4"/>
      <c r="N18" s="4"/>
      <c r="O18" s="4"/>
      <c r="P18" s="141"/>
    </row>
    <row r="19" customFormat="false" ht="15" hidden="false" customHeight="false" outlineLevel="0" collapsed="false">
      <c r="A19" s="142" t="s">
        <v>3</v>
      </c>
      <c r="B19" s="143"/>
      <c r="C19" s="143"/>
      <c r="D19" s="143"/>
      <c r="E19" s="143"/>
      <c r="F19" s="143"/>
      <c r="G19" s="144"/>
      <c r="J19" s="142" t="s">
        <v>3</v>
      </c>
      <c r="K19" s="143"/>
      <c r="L19" s="143"/>
      <c r="M19" s="143"/>
      <c r="N19" s="143"/>
      <c r="O19" s="143"/>
      <c r="P19" s="144"/>
    </row>
    <row r="21" customFormat="false" ht="15.75" hidden="false" customHeight="true" outlineLevel="0" collapsed="false">
      <c r="A21" s="136" t="s">
        <v>364</v>
      </c>
      <c r="B21" s="136"/>
      <c r="C21" s="136"/>
      <c r="D21" s="136"/>
      <c r="E21" s="136"/>
      <c r="F21" s="136"/>
      <c r="G21" s="136"/>
      <c r="J21" s="136" t="s">
        <v>364</v>
      </c>
      <c r="K21" s="136"/>
      <c r="L21" s="136"/>
      <c r="M21" s="136"/>
      <c r="N21" s="136"/>
      <c r="O21" s="136"/>
      <c r="P21" s="136"/>
    </row>
    <row r="22" customFormat="false" ht="15.75" hidden="false" customHeight="true" outlineLevel="0" collapsed="false">
      <c r="A22" s="137"/>
      <c r="B22" s="138" t="s">
        <v>371</v>
      </c>
      <c r="C22" s="138" t="s">
        <v>371</v>
      </c>
      <c r="D22" s="138" t="s">
        <v>371</v>
      </c>
      <c r="E22" s="138" t="s">
        <v>371</v>
      </c>
      <c r="F22" s="138" t="s">
        <v>371</v>
      </c>
      <c r="G22" s="139" t="s">
        <v>371</v>
      </c>
      <c r="J22" s="137"/>
      <c r="K22" s="138" t="s">
        <v>371</v>
      </c>
      <c r="L22" s="138" t="s">
        <v>371</v>
      </c>
      <c r="M22" s="138" t="s">
        <v>371</v>
      </c>
      <c r="N22" s="138" t="s">
        <v>371</v>
      </c>
      <c r="O22" s="138" t="s">
        <v>371</v>
      </c>
      <c r="P22" s="139" t="s">
        <v>371</v>
      </c>
    </row>
    <row r="23" customFormat="false" ht="15.75" hidden="false" customHeight="true" outlineLevel="0" collapsed="false">
      <c r="A23" s="140" t="s">
        <v>1</v>
      </c>
      <c r="B23" s="4"/>
      <c r="C23" s="4"/>
      <c r="D23" s="4"/>
      <c r="E23" s="4"/>
      <c r="F23" s="4"/>
      <c r="G23" s="141"/>
      <c r="J23" s="140" t="s">
        <v>1</v>
      </c>
      <c r="K23" s="4"/>
      <c r="L23" s="4"/>
      <c r="M23" s="4"/>
      <c r="N23" s="4"/>
      <c r="O23" s="4"/>
      <c r="P23" s="141"/>
    </row>
    <row r="24" customFormat="false" ht="15.75" hidden="false" customHeight="true" outlineLevel="0" collapsed="false">
      <c r="A24" s="140" t="s">
        <v>6</v>
      </c>
      <c r="B24" s="4"/>
      <c r="C24" s="4"/>
      <c r="D24" s="4"/>
      <c r="E24" s="4"/>
      <c r="F24" s="4"/>
      <c r="G24" s="141"/>
      <c r="J24" s="140" t="s">
        <v>6</v>
      </c>
      <c r="K24" s="4"/>
      <c r="L24" s="4"/>
      <c r="M24" s="4"/>
      <c r="N24" s="4"/>
      <c r="O24" s="4"/>
      <c r="P24" s="141"/>
    </row>
    <row r="25" customFormat="false" ht="15.75" hidden="false" customHeight="true" outlineLevel="0" collapsed="false">
      <c r="A25" s="140" t="s">
        <v>243</v>
      </c>
      <c r="B25" s="4"/>
      <c r="C25" s="4"/>
      <c r="D25" s="4"/>
      <c r="E25" s="4"/>
      <c r="F25" s="4"/>
      <c r="G25" s="141"/>
      <c r="J25" s="140" t="s">
        <v>243</v>
      </c>
      <c r="K25" s="4"/>
      <c r="L25" s="4"/>
      <c r="M25" s="4"/>
      <c r="N25" s="4"/>
      <c r="O25" s="4"/>
      <c r="P25" s="141"/>
    </row>
    <row r="26" customFormat="false" ht="15.75" hidden="false" customHeight="true" outlineLevel="0" collapsed="false">
      <c r="A26" s="140" t="s">
        <v>372</v>
      </c>
      <c r="B26" s="4"/>
      <c r="C26" s="4"/>
      <c r="D26" s="4"/>
      <c r="E26" s="4"/>
      <c r="F26" s="4"/>
      <c r="G26" s="141"/>
      <c r="J26" s="140" t="s">
        <v>372</v>
      </c>
      <c r="K26" s="4"/>
      <c r="L26" s="4"/>
      <c r="M26" s="4"/>
      <c r="N26" s="4"/>
      <c r="O26" s="4"/>
      <c r="P26" s="141"/>
    </row>
    <row r="27" customFormat="false" ht="15.75" hidden="false" customHeight="true" outlineLevel="0" collapsed="false">
      <c r="A27" s="142" t="s">
        <v>3</v>
      </c>
      <c r="B27" s="143"/>
      <c r="C27" s="143"/>
      <c r="D27" s="143"/>
      <c r="E27" s="143"/>
      <c r="F27" s="143"/>
      <c r="G27" s="144"/>
      <c r="J27" s="142" t="s">
        <v>3</v>
      </c>
      <c r="K27" s="143"/>
      <c r="L27" s="143"/>
      <c r="M27" s="143"/>
      <c r="N27" s="143"/>
      <c r="O27" s="143"/>
      <c r="P27" s="144"/>
    </row>
    <row r="28" customFormat="false" ht="15.75" hidden="false" customHeight="true" outlineLevel="0" collapsed="false"/>
    <row r="29" customFormat="false" ht="15.75" hidden="false" customHeight="true" outlineLevel="0" collapsed="false">
      <c r="A29" s="136" t="s">
        <v>364</v>
      </c>
      <c r="B29" s="136"/>
      <c r="C29" s="136"/>
      <c r="D29" s="136"/>
      <c r="E29" s="136"/>
      <c r="F29" s="136"/>
      <c r="G29" s="136"/>
      <c r="J29" s="136" t="s">
        <v>364</v>
      </c>
      <c r="K29" s="136"/>
      <c r="L29" s="136"/>
      <c r="M29" s="136"/>
      <c r="N29" s="136"/>
      <c r="O29" s="136"/>
      <c r="P29" s="136"/>
    </row>
    <row r="30" customFormat="false" ht="15.75" hidden="false" customHeight="true" outlineLevel="0" collapsed="false">
      <c r="A30" s="137"/>
      <c r="B30" s="138" t="s">
        <v>371</v>
      </c>
      <c r="C30" s="138" t="s">
        <v>371</v>
      </c>
      <c r="D30" s="138" t="s">
        <v>371</v>
      </c>
      <c r="E30" s="138" t="s">
        <v>371</v>
      </c>
      <c r="F30" s="138" t="s">
        <v>371</v>
      </c>
      <c r="G30" s="139" t="s">
        <v>371</v>
      </c>
      <c r="J30" s="137"/>
      <c r="K30" s="138" t="s">
        <v>371</v>
      </c>
      <c r="L30" s="138" t="s">
        <v>371</v>
      </c>
      <c r="M30" s="138" t="s">
        <v>371</v>
      </c>
      <c r="N30" s="138" t="s">
        <v>371</v>
      </c>
      <c r="O30" s="138" t="s">
        <v>371</v>
      </c>
      <c r="P30" s="139" t="s">
        <v>371</v>
      </c>
    </row>
    <row r="31" customFormat="false" ht="15.75" hidden="false" customHeight="true" outlineLevel="0" collapsed="false">
      <c r="A31" s="140" t="s">
        <v>1</v>
      </c>
      <c r="B31" s="4"/>
      <c r="C31" s="4"/>
      <c r="D31" s="4"/>
      <c r="E31" s="4"/>
      <c r="F31" s="4"/>
      <c r="G31" s="141"/>
      <c r="J31" s="140" t="s">
        <v>1</v>
      </c>
      <c r="K31" s="4"/>
      <c r="L31" s="4"/>
      <c r="M31" s="4"/>
      <c r="N31" s="4"/>
      <c r="O31" s="4"/>
      <c r="P31" s="141"/>
    </row>
    <row r="32" customFormat="false" ht="15.75" hidden="false" customHeight="true" outlineLevel="0" collapsed="false">
      <c r="A32" s="140" t="s">
        <v>6</v>
      </c>
      <c r="B32" s="4"/>
      <c r="C32" s="4"/>
      <c r="D32" s="4"/>
      <c r="E32" s="4"/>
      <c r="F32" s="4"/>
      <c r="G32" s="141"/>
      <c r="J32" s="140" t="s">
        <v>6</v>
      </c>
      <c r="K32" s="4"/>
      <c r="L32" s="4"/>
      <c r="M32" s="4"/>
      <c r="N32" s="4"/>
      <c r="O32" s="4"/>
      <c r="P32" s="141"/>
    </row>
    <row r="33" customFormat="false" ht="15.75" hidden="false" customHeight="true" outlineLevel="0" collapsed="false">
      <c r="A33" s="140" t="s">
        <v>243</v>
      </c>
      <c r="B33" s="4"/>
      <c r="C33" s="4"/>
      <c r="D33" s="4"/>
      <c r="E33" s="4"/>
      <c r="F33" s="4"/>
      <c r="G33" s="141"/>
      <c r="J33" s="140" t="s">
        <v>243</v>
      </c>
      <c r="K33" s="4"/>
      <c r="L33" s="4"/>
      <c r="M33" s="4"/>
      <c r="N33" s="4"/>
      <c r="O33" s="4"/>
      <c r="P33" s="141"/>
    </row>
    <row r="34" customFormat="false" ht="15.75" hidden="false" customHeight="true" outlineLevel="0" collapsed="false">
      <c r="A34" s="140" t="s">
        <v>372</v>
      </c>
      <c r="B34" s="4"/>
      <c r="C34" s="4"/>
      <c r="D34" s="4"/>
      <c r="E34" s="4"/>
      <c r="F34" s="4"/>
      <c r="G34" s="141"/>
      <c r="J34" s="140" t="s">
        <v>372</v>
      </c>
      <c r="K34" s="4"/>
      <c r="L34" s="4"/>
      <c r="M34" s="4"/>
      <c r="N34" s="4"/>
      <c r="O34" s="4"/>
      <c r="P34" s="141"/>
    </row>
    <row r="35" customFormat="false" ht="15.75" hidden="false" customHeight="true" outlineLevel="0" collapsed="false">
      <c r="A35" s="142" t="s">
        <v>3</v>
      </c>
      <c r="B35" s="143"/>
      <c r="C35" s="143"/>
      <c r="D35" s="143"/>
      <c r="E35" s="143"/>
      <c r="F35" s="143"/>
      <c r="G35" s="144"/>
      <c r="J35" s="142" t="s">
        <v>3</v>
      </c>
      <c r="K35" s="143"/>
      <c r="L35" s="143"/>
      <c r="M35" s="143"/>
      <c r="N35" s="143"/>
      <c r="O35" s="143"/>
      <c r="P35" s="144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9">
    <mergeCell ref="G1:J1"/>
    <mergeCell ref="A3:G3"/>
    <mergeCell ref="J3:P3"/>
    <mergeCell ref="A13:G13"/>
    <mergeCell ref="J13:P13"/>
    <mergeCell ref="A21:G21"/>
    <mergeCell ref="J21:P21"/>
    <mergeCell ref="A29:G29"/>
    <mergeCell ref="J29:P2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1" width="10.11"/>
    <col collapsed="false" customWidth="true" hidden="false" outlineLevel="0" max="3" min="2" style="1" width="8.67"/>
    <col collapsed="false" customWidth="true" hidden="false" outlineLevel="0" max="4" min="4" style="1" width="13.88"/>
    <col collapsed="false" customWidth="true" hidden="false" outlineLevel="0" max="6" min="5" style="1" width="8.67"/>
    <col collapsed="false" customWidth="true" hidden="false" outlineLevel="0" max="7" min="7" style="1" width="13.88"/>
    <col collapsed="false" customWidth="true" hidden="false" outlineLevel="0" max="9" min="8" style="1" width="8.67"/>
    <col collapsed="false" customWidth="true" hidden="false" outlineLevel="0" max="10" min="10" style="1" width="13.88"/>
    <col collapsed="false" customWidth="true" hidden="false" outlineLevel="0" max="12" min="11" style="1" width="8.67"/>
    <col collapsed="false" customWidth="true" hidden="false" outlineLevel="0" max="13" min="13" style="1" width="13.88"/>
    <col collapsed="false" customWidth="true" hidden="false" outlineLevel="0" max="15" min="14" style="1" width="8.67"/>
    <col collapsed="false" customWidth="true" hidden="false" outlineLevel="0" max="16" min="16" style="1" width="13.88"/>
    <col collapsed="false" customWidth="true" hidden="false" outlineLevel="0" max="26" min="17" style="1" width="8.67"/>
  </cols>
  <sheetData>
    <row r="1" customFormat="false" ht="15" hidden="false" customHeight="false" outlineLevel="0" collapsed="false">
      <c r="A1" s="145"/>
      <c r="B1" s="146"/>
      <c r="C1" s="146"/>
      <c r="D1" s="145" t="s">
        <v>373</v>
      </c>
      <c r="E1" s="146"/>
      <c r="F1" s="146"/>
      <c r="G1" s="145" t="s">
        <v>374</v>
      </c>
      <c r="H1" s="146"/>
      <c r="I1" s="146"/>
      <c r="J1" s="145" t="s">
        <v>375</v>
      </c>
      <c r="K1" s="146"/>
      <c r="L1" s="146"/>
      <c r="M1" s="145" t="s">
        <v>376</v>
      </c>
      <c r="N1" s="146"/>
      <c r="O1" s="146"/>
      <c r="P1" s="145" t="s">
        <v>377</v>
      </c>
      <c r="Q1" s="146"/>
      <c r="R1" s="146"/>
    </row>
    <row r="2" customFormat="false" ht="15" hidden="false" customHeight="false" outlineLevel="0" collapsed="false">
      <c r="A2" s="147" t="s">
        <v>364</v>
      </c>
      <c r="B2" s="148"/>
      <c r="C2" s="148"/>
      <c r="D2" s="147" t="s">
        <v>148</v>
      </c>
      <c r="E2" s="148"/>
      <c r="F2" s="148"/>
      <c r="G2" s="147" t="s">
        <v>148</v>
      </c>
      <c r="H2" s="148"/>
      <c r="I2" s="148"/>
      <c r="J2" s="147" t="s">
        <v>148</v>
      </c>
      <c r="K2" s="148"/>
      <c r="L2" s="148"/>
      <c r="M2" s="147" t="s">
        <v>148</v>
      </c>
      <c r="N2" s="148"/>
      <c r="O2" s="148"/>
      <c r="P2" s="147" t="s">
        <v>148</v>
      </c>
      <c r="Q2" s="148"/>
      <c r="R2" s="148"/>
    </row>
    <row r="3" customFormat="false" ht="15" hidden="false" customHeight="false" outlineLevel="0" collapsed="false">
      <c r="A3" s="147" t="s">
        <v>378</v>
      </c>
      <c r="B3" s="148"/>
      <c r="C3" s="148"/>
      <c r="D3" s="147" t="s">
        <v>379</v>
      </c>
      <c r="E3" s="148"/>
      <c r="F3" s="148"/>
      <c r="G3" s="147" t="s">
        <v>379</v>
      </c>
      <c r="H3" s="148"/>
      <c r="I3" s="148"/>
      <c r="J3" s="147" t="s">
        <v>379</v>
      </c>
      <c r="K3" s="148"/>
      <c r="L3" s="148"/>
      <c r="M3" s="147" t="s">
        <v>379</v>
      </c>
      <c r="N3" s="148"/>
      <c r="O3" s="148"/>
      <c r="P3" s="147" t="s">
        <v>379</v>
      </c>
      <c r="Q3" s="148"/>
      <c r="R3" s="148"/>
    </row>
    <row r="4" customFormat="false" ht="15" hidden="false" customHeight="false" outlineLevel="0" collapsed="false">
      <c r="A4" s="147" t="s">
        <v>4</v>
      </c>
      <c r="B4" s="148"/>
      <c r="C4" s="148"/>
      <c r="D4" s="147" t="s">
        <v>380</v>
      </c>
      <c r="E4" s="148"/>
      <c r="F4" s="148"/>
      <c r="G4" s="147" t="s">
        <v>380</v>
      </c>
      <c r="H4" s="148"/>
      <c r="I4" s="148"/>
      <c r="J4" s="147" t="s">
        <v>380</v>
      </c>
      <c r="K4" s="148"/>
      <c r="L4" s="148"/>
      <c r="M4" s="147" t="s">
        <v>380</v>
      </c>
      <c r="N4" s="148"/>
      <c r="O4" s="148"/>
      <c r="P4" s="147" t="s">
        <v>380</v>
      </c>
      <c r="Q4" s="148"/>
      <c r="R4" s="148"/>
    </row>
    <row r="5" customFormat="false" ht="15" hidden="false" customHeight="false" outlineLevel="0" collapsed="false">
      <c r="A5" s="147" t="s">
        <v>381</v>
      </c>
      <c r="B5" s="148"/>
      <c r="C5" s="148"/>
      <c r="D5" s="147" t="s">
        <v>382</v>
      </c>
      <c r="E5" s="148"/>
      <c r="F5" s="148"/>
      <c r="G5" s="147" t="s">
        <v>382</v>
      </c>
      <c r="H5" s="148"/>
      <c r="I5" s="148"/>
      <c r="J5" s="147" t="s">
        <v>382</v>
      </c>
      <c r="K5" s="148"/>
      <c r="L5" s="148"/>
      <c r="M5" s="147" t="s">
        <v>382</v>
      </c>
      <c r="N5" s="148"/>
      <c r="O5" s="148"/>
      <c r="P5" s="147" t="s">
        <v>382</v>
      </c>
      <c r="Q5" s="148"/>
      <c r="R5" s="148"/>
    </row>
    <row r="6" customFormat="false" ht="15" hidden="false" customHeight="false" outlineLevel="0" collapsed="false">
      <c r="A6" s="147" t="s">
        <v>383</v>
      </c>
      <c r="B6" s="148"/>
      <c r="C6" s="148"/>
      <c r="D6" s="147" t="s">
        <v>384</v>
      </c>
      <c r="E6" s="148"/>
      <c r="F6" s="148"/>
      <c r="G6" s="147" t="s">
        <v>384</v>
      </c>
      <c r="H6" s="148"/>
      <c r="I6" s="148"/>
      <c r="J6" s="147" t="s">
        <v>384</v>
      </c>
      <c r="K6" s="148"/>
      <c r="L6" s="148"/>
      <c r="M6" s="147" t="s">
        <v>384</v>
      </c>
      <c r="N6" s="148"/>
      <c r="O6" s="148"/>
      <c r="P6" s="147" t="s">
        <v>384</v>
      </c>
      <c r="Q6" s="148"/>
      <c r="R6" s="148"/>
    </row>
    <row r="7" customFormat="false" ht="15" hidden="false" customHeight="false" outlineLevel="0" collapsed="false">
      <c r="A7" s="147" t="s">
        <v>243</v>
      </c>
      <c r="B7" s="148"/>
      <c r="C7" s="148"/>
      <c r="D7" s="147" t="s">
        <v>347</v>
      </c>
      <c r="E7" s="148"/>
      <c r="F7" s="148"/>
      <c r="G7" s="147" t="s">
        <v>347</v>
      </c>
      <c r="H7" s="148"/>
      <c r="I7" s="148"/>
      <c r="J7" s="147" t="s">
        <v>347</v>
      </c>
      <c r="K7" s="148"/>
      <c r="L7" s="148"/>
      <c r="M7" s="147" t="s">
        <v>347</v>
      </c>
      <c r="N7" s="148"/>
      <c r="O7" s="148"/>
      <c r="P7" s="147" t="s">
        <v>347</v>
      </c>
      <c r="Q7" s="148"/>
      <c r="R7" s="148"/>
    </row>
    <row r="8" customFormat="false" ht="15" hidden="false" customHeight="false" outlineLevel="0" collapsed="false">
      <c r="A8" s="147" t="s">
        <v>19</v>
      </c>
      <c r="B8" s="148"/>
      <c r="C8" s="148"/>
      <c r="D8" s="147" t="s">
        <v>385</v>
      </c>
      <c r="E8" s="148"/>
      <c r="F8" s="148"/>
      <c r="G8" s="147" t="s">
        <v>385</v>
      </c>
      <c r="H8" s="148"/>
      <c r="I8" s="148"/>
      <c r="J8" s="147" t="s">
        <v>385</v>
      </c>
      <c r="K8" s="148"/>
      <c r="L8" s="148"/>
      <c r="M8" s="147" t="s">
        <v>385</v>
      </c>
      <c r="N8" s="148"/>
      <c r="O8" s="148"/>
      <c r="P8" s="147" t="s">
        <v>385</v>
      </c>
      <c r="Q8" s="148"/>
      <c r="R8" s="148"/>
    </row>
    <row r="9" customFormat="false" ht="15" hidden="false" customHeight="false" outlineLevel="0" collapsed="false">
      <c r="A9" s="147" t="s">
        <v>386</v>
      </c>
      <c r="B9" s="148"/>
      <c r="C9" s="148"/>
      <c r="D9" s="147" t="s">
        <v>387</v>
      </c>
      <c r="E9" s="148"/>
      <c r="F9" s="148"/>
      <c r="G9" s="147" t="s">
        <v>387</v>
      </c>
      <c r="H9" s="148"/>
      <c r="I9" s="148"/>
      <c r="J9" s="147" t="s">
        <v>387</v>
      </c>
      <c r="K9" s="148"/>
      <c r="L9" s="148"/>
      <c r="M9" s="147" t="s">
        <v>387</v>
      </c>
      <c r="N9" s="148"/>
      <c r="O9" s="148"/>
      <c r="P9" s="147" t="s">
        <v>387</v>
      </c>
      <c r="Q9" s="148"/>
      <c r="R9" s="148"/>
    </row>
    <row r="10" customFormat="false" ht="15" hidden="false" customHeight="false" outlineLevel="0" collapsed="false">
      <c r="A10" s="147" t="s">
        <v>117</v>
      </c>
      <c r="B10" s="148"/>
      <c r="C10" s="148"/>
      <c r="D10" s="147" t="s">
        <v>388</v>
      </c>
      <c r="E10" s="148"/>
      <c r="F10" s="148"/>
      <c r="G10" s="147" t="s">
        <v>388</v>
      </c>
      <c r="H10" s="148"/>
      <c r="I10" s="148"/>
      <c r="J10" s="147" t="s">
        <v>388</v>
      </c>
      <c r="K10" s="148"/>
      <c r="L10" s="148"/>
      <c r="M10" s="147" t="s">
        <v>388</v>
      </c>
      <c r="N10" s="148"/>
      <c r="O10" s="148"/>
      <c r="P10" s="147" t="s">
        <v>388</v>
      </c>
      <c r="Q10" s="148"/>
      <c r="R10" s="148"/>
    </row>
    <row r="11" customFormat="false" ht="15" hidden="false" customHeight="false" outlineLevel="0" collapsed="false">
      <c r="A11" s="147" t="s">
        <v>1</v>
      </c>
      <c r="B11" s="148"/>
      <c r="C11" s="148"/>
      <c r="D11" s="147" t="s">
        <v>389</v>
      </c>
      <c r="E11" s="148"/>
      <c r="F11" s="148"/>
      <c r="G11" s="147" t="s">
        <v>389</v>
      </c>
      <c r="H11" s="148"/>
      <c r="I11" s="148"/>
      <c r="J11" s="147" t="s">
        <v>389</v>
      </c>
      <c r="K11" s="148"/>
      <c r="L11" s="148"/>
      <c r="M11" s="147" t="s">
        <v>389</v>
      </c>
      <c r="N11" s="148"/>
      <c r="O11" s="148"/>
      <c r="P11" s="147" t="s">
        <v>389</v>
      </c>
      <c r="Q11" s="148"/>
      <c r="R11" s="148"/>
    </row>
    <row r="12" customFormat="false" ht="15" hidden="false" customHeight="false" outlineLevel="0" collapsed="false">
      <c r="A12" s="147" t="s">
        <v>6</v>
      </c>
      <c r="B12" s="148"/>
      <c r="C12" s="148"/>
      <c r="D12" s="147" t="s">
        <v>390</v>
      </c>
      <c r="E12" s="148"/>
      <c r="F12" s="148"/>
      <c r="G12" s="147" t="s">
        <v>390</v>
      </c>
      <c r="H12" s="148"/>
      <c r="I12" s="148"/>
      <c r="J12" s="147" t="s">
        <v>390</v>
      </c>
      <c r="K12" s="148"/>
      <c r="L12" s="148"/>
      <c r="M12" s="147" t="s">
        <v>390</v>
      </c>
      <c r="N12" s="148"/>
      <c r="O12" s="148"/>
      <c r="P12" s="147" t="s">
        <v>390</v>
      </c>
      <c r="Q12" s="148"/>
      <c r="R12" s="148"/>
    </row>
    <row r="13" customFormat="false" ht="15" hidden="false" customHeight="false" outlineLevel="0" collapsed="false">
      <c r="A13" s="147" t="s">
        <v>3</v>
      </c>
      <c r="B13" s="148"/>
      <c r="C13" s="148"/>
      <c r="D13" s="147" t="s">
        <v>391</v>
      </c>
      <c r="E13" s="148"/>
      <c r="F13" s="148"/>
      <c r="G13" s="147" t="s">
        <v>391</v>
      </c>
      <c r="H13" s="148"/>
      <c r="I13" s="148"/>
      <c r="J13" s="147" t="s">
        <v>391</v>
      </c>
      <c r="K13" s="148"/>
      <c r="L13" s="148"/>
      <c r="M13" s="147" t="s">
        <v>391</v>
      </c>
      <c r="N13" s="148"/>
      <c r="O13" s="148"/>
      <c r="P13" s="147" t="s">
        <v>391</v>
      </c>
      <c r="Q13" s="148"/>
      <c r="R13" s="148"/>
    </row>
    <row r="14" customFormat="false" ht="15" hidden="false" customHeight="false" outlineLevel="0" collapsed="false">
      <c r="A14" s="147" t="s">
        <v>392</v>
      </c>
      <c r="B14" s="148"/>
      <c r="C14" s="148"/>
      <c r="D14" s="147" t="s">
        <v>393</v>
      </c>
      <c r="E14" s="148"/>
      <c r="F14" s="148"/>
      <c r="G14" s="147" t="s">
        <v>393</v>
      </c>
      <c r="H14" s="148"/>
      <c r="I14" s="148"/>
      <c r="J14" s="147" t="s">
        <v>393</v>
      </c>
      <c r="K14" s="148"/>
      <c r="L14" s="148"/>
      <c r="M14" s="147" t="s">
        <v>393</v>
      </c>
      <c r="N14" s="148"/>
      <c r="O14" s="148"/>
      <c r="P14" s="147" t="s">
        <v>393</v>
      </c>
      <c r="Q14" s="148"/>
      <c r="R14" s="148"/>
    </row>
    <row r="15" customFormat="false" ht="15" hidden="false" customHeight="false" outlineLevel="0" collapsed="false">
      <c r="A15" s="147" t="s">
        <v>394</v>
      </c>
      <c r="B15" s="148"/>
      <c r="C15" s="148"/>
      <c r="D15" s="147" t="s">
        <v>395</v>
      </c>
      <c r="E15" s="148"/>
      <c r="F15" s="148"/>
      <c r="G15" s="147" t="s">
        <v>395</v>
      </c>
      <c r="H15" s="148"/>
      <c r="I15" s="148"/>
      <c r="J15" s="147" t="s">
        <v>395</v>
      </c>
      <c r="K15" s="148"/>
      <c r="L15" s="148"/>
      <c r="M15" s="147" t="s">
        <v>395</v>
      </c>
      <c r="N15" s="148"/>
      <c r="O15" s="148"/>
      <c r="P15" s="147" t="s">
        <v>395</v>
      </c>
      <c r="Q15" s="148"/>
      <c r="R15" s="148"/>
    </row>
    <row r="16" customFormat="false" ht="15" hidden="false" customHeight="false" outlineLevel="0" collapsed="false">
      <c r="A16" s="147"/>
      <c r="B16" s="148"/>
      <c r="C16" s="148"/>
      <c r="D16" s="147" t="s">
        <v>396</v>
      </c>
      <c r="E16" s="148"/>
      <c r="F16" s="148"/>
      <c r="G16" s="147" t="s">
        <v>396</v>
      </c>
      <c r="H16" s="148"/>
      <c r="I16" s="148"/>
      <c r="J16" s="147" t="s">
        <v>396</v>
      </c>
      <c r="K16" s="148"/>
      <c r="L16" s="148"/>
      <c r="M16" s="147" t="s">
        <v>396</v>
      </c>
      <c r="N16" s="148"/>
      <c r="O16" s="148"/>
      <c r="P16" s="147" t="s">
        <v>396</v>
      </c>
      <c r="Q16" s="148"/>
      <c r="R16" s="148"/>
    </row>
    <row r="17" customFormat="false" ht="15" hidden="false" customHeight="false" outlineLevel="0" collapsed="false">
      <c r="A17" s="147"/>
      <c r="B17" s="148"/>
      <c r="C17" s="148"/>
      <c r="D17" s="147" t="s">
        <v>397</v>
      </c>
      <c r="E17" s="148"/>
      <c r="F17" s="148"/>
      <c r="G17" s="147" t="s">
        <v>397</v>
      </c>
      <c r="H17" s="148"/>
      <c r="I17" s="148"/>
      <c r="J17" s="147" t="s">
        <v>397</v>
      </c>
      <c r="K17" s="148"/>
      <c r="L17" s="148"/>
      <c r="M17" s="147" t="s">
        <v>397</v>
      </c>
      <c r="N17" s="148"/>
      <c r="O17" s="148"/>
      <c r="P17" s="147" t="s">
        <v>397</v>
      </c>
      <c r="Q17" s="148"/>
      <c r="R17" s="148"/>
    </row>
    <row r="18" customFormat="false" ht="15" hidden="false" customHeight="false" outlineLevel="0" collapsed="false">
      <c r="A18" s="149"/>
      <c r="B18" s="150"/>
      <c r="C18" s="150"/>
      <c r="D18" s="149"/>
      <c r="E18" s="150"/>
      <c r="F18" s="150"/>
      <c r="G18" s="149"/>
      <c r="H18" s="150"/>
      <c r="I18" s="150"/>
      <c r="J18" s="149"/>
      <c r="K18" s="150"/>
      <c r="L18" s="150"/>
      <c r="M18" s="149"/>
      <c r="N18" s="150"/>
      <c r="O18" s="150"/>
      <c r="P18" s="149"/>
      <c r="Q18" s="150"/>
      <c r="R18" s="150"/>
    </row>
    <row r="20" customFormat="false" ht="15" hidden="false" customHeight="false" outlineLevel="0" collapsed="false">
      <c r="A20" s="145"/>
      <c r="B20" s="146"/>
      <c r="C20" s="146"/>
      <c r="D20" s="145" t="s">
        <v>373</v>
      </c>
      <c r="E20" s="146"/>
      <c r="F20" s="146"/>
      <c r="G20" s="145" t="s">
        <v>374</v>
      </c>
      <c r="H20" s="146"/>
      <c r="I20" s="146"/>
      <c r="J20" s="145" t="s">
        <v>375</v>
      </c>
      <c r="K20" s="146"/>
      <c r="L20" s="146"/>
      <c r="M20" s="145" t="s">
        <v>376</v>
      </c>
      <c r="N20" s="146"/>
      <c r="O20" s="146"/>
      <c r="P20" s="145" t="s">
        <v>377</v>
      </c>
      <c r="Q20" s="146"/>
      <c r="R20" s="146"/>
    </row>
    <row r="21" customFormat="false" ht="15.75" hidden="false" customHeight="true" outlineLevel="0" collapsed="false">
      <c r="A21" s="147" t="s">
        <v>364</v>
      </c>
      <c r="B21" s="148"/>
      <c r="C21" s="148"/>
      <c r="D21" s="147" t="s">
        <v>148</v>
      </c>
      <c r="E21" s="148"/>
      <c r="F21" s="148"/>
      <c r="G21" s="147" t="s">
        <v>148</v>
      </c>
      <c r="H21" s="148"/>
      <c r="I21" s="148"/>
      <c r="J21" s="147" t="s">
        <v>148</v>
      </c>
      <c r="K21" s="148"/>
      <c r="L21" s="148"/>
      <c r="M21" s="147" t="s">
        <v>148</v>
      </c>
      <c r="N21" s="148"/>
      <c r="O21" s="148"/>
      <c r="P21" s="147" t="s">
        <v>148</v>
      </c>
      <c r="Q21" s="148"/>
      <c r="R21" s="148"/>
    </row>
    <row r="22" customFormat="false" ht="15.75" hidden="false" customHeight="true" outlineLevel="0" collapsed="false">
      <c r="A22" s="147" t="s">
        <v>378</v>
      </c>
      <c r="B22" s="148"/>
      <c r="C22" s="148"/>
      <c r="D22" s="147" t="s">
        <v>379</v>
      </c>
      <c r="E22" s="148"/>
      <c r="F22" s="148"/>
      <c r="G22" s="147" t="s">
        <v>379</v>
      </c>
      <c r="H22" s="148"/>
      <c r="I22" s="148"/>
      <c r="J22" s="147" t="s">
        <v>379</v>
      </c>
      <c r="K22" s="148"/>
      <c r="L22" s="148"/>
      <c r="M22" s="147" t="s">
        <v>379</v>
      </c>
      <c r="N22" s="148"/>
      <c r="O22" s="148"/>
      <c r="P22" s="147" t="s">
        <v>379</v>
      </c>
      <c r="Q22" s="148"/>
      <c r="R22" s="148"/>
    </row>
    <row r="23" customFormat="false" ht="15.75" hidden="false" customHeight="true" outlineLevel="0" collapsed="false">
      <c r="A23" s="147" t="s">
        <v>4</v>
      </c>
      <c r="B23" s="148"/>
      <c r="C23" s="148"/>
      <c r="D23" s="147" t="s">
        <v>380</v>
      </c>
      <c r="E23" s="148"/>
      <c r="F23" s="148"/>
      <c r="G23" s="147" t="s">
        <v>380</v>
      </c>
      <c r="H23" s="148"/>
      <c r="I23" s="148"/>
      <c r="J23" s="147" t="s">
        <v>380</v>
      </c>
      <c r="K23" s="148"/>
      <c r="L23" s="148"/>
      <c r="M23" s="147" t="s">
        <v>380</v>
      </c>
      <c r="N23" s="148"/>
      <c r="O23" s="148"/>
      <c r="P23" s="147" t="s">
        <v>380</v>
      </c>
      <c r="Q23" s="148"/>
      <c r="R23" s="148"/>
    </row>
    <row r="24" customFormat="false" ht="15.75" hidden="false" customHeight="true" outlineLevel="0" collapsed="false">
      <c r="A24" s="147" t="s">
        <v>381</v>
      </c>
      <c r="B24" s="148"/>
      <c r="C24" s="148"/>
      <c r="D24" s="147" t="s">
        <v>382</v>
      </c>
      <c r="E24" s="148"/>
      <c r="F24" s="148"/>
      <c r="G24" s="147" t="s">
        <v>382</v>
      </c>
      <c r="H24" s="148"/>
      <c r="I24" s="148"/>
      <c r="J24" s="147" t="s">
        <v>382</v>
      </c>
      <c r="K24" s="148"/>
      <c r="L24" s="148"/>
      <c r="M24" s="147" t="s">
        <v>382</v>
      </c>
      <c r="N24" s="148"/>
      <c r="O24" s="148"/>
      <c r="P24" s="147" t="s">
        <v>382</v>
      </c>
      <c r="Q24" s="148"/>
      <c r="R24" s="148"/>
    </row>
    <row r="25" customFormat="false" ht="15.75" hidden="false" customHeight="true" outlineLevel="0" collapsed="false">
      <c r="A25" s="147" t="s">
        <v>383</v>
      </c>
      <c r="B25" s="148"/>
      <c r="C25" s="148"/>
      <c r="D25" s="147" t="s">
        <v>384</v>
      </c>
      <c r="E25" s="148"/>
      <c r="F25" s="148"/>
      <c r="G25" s="147" t="s">
        <v>384</v>
      </c>
      <c r="H25" s="148"/>
      <c r="I25" s="148"/>
      <c r="J25" s="147" t="s">
        <v>384</v>
      </c>
      <c r="K25" s="148"/>
      <c r="L25" s="148"/>
      <c r="M25" s="147" t="s">
        <v>384</v>
      </c>
      <c r="N25" s="148"/>
      <c r="O25" s="148"/>
      <c r="P25" s="147" t="s">
        <v>384</v>
      </c>
      <c r="Q25" s="148"/>
      <c r="R25" s="148"/>
    </row>
    <row r="26" customFormat="false" ht="15.75" hidden="false" customHeight="true" outlineLevel="0" collapsed="false">
      <c r="A26" s="147" t="s">
        <v>243</v>
      </c>
      <c r="B26" s="148"/>
      <c r="C26" s="148"/>
      <c r="D26" s="147" t="s">
        <v>347</v>
      </c>
      <c r="E26" s="148"/>
      <c r="F26" s="148"/>
      <c r="G26" s="147" t="s">
        <v>347</v>
      </c>
      <c r="H26" s="148"/>
      <c r="I26" s="148"/>
      <c r="J26" s="147" t="s">
        <v>347</v>
      </c>
      <c r="K26" s="148"/>
      <c r="L26" s="148"/>
      <c r="M26" s="147" t="s">
        <v>347</v>
      </c>
      <c r="N26" s="148"/>
      <c r="O26" s="148"/>
      <c r="P26" s="147" t="s">
        <v>347</v>
      </c>
      <c r="Q26" s="148"/>
      <c r="R26" s="148"/>
    </row>
    <row r="27" customFormat="false" ht="15.75" hidden="false" customHeight="true" outlineLevel="0" collapsed="false">
      <c r="A27" s="147" t="s">
        <v>19</v>
      </c>
      <c r="B27" s="148"/>
      <c r="C27" s="148"/>
      <c r="D27" s="147" t="s">
        <v>385</v>
      </c>
      <c r="E27" s="148"/>
      <c r="F27" s="148"/>
      <c r="G27" s="147" t="s">
        <v>385</v>
      </c>
      <c r="H27" s="148"/>
      <c r="I27" s="148"/>
      <c r="J27" s="147" t="s">
        <v>385</v>
      </c>
      <c r="K27" s="148"/>
      <c r="L27" s="148"/>
      <c r="M27" s="147" t="s">
        <v>385</v>
      </c>
      <c r="N27" s="148"/>
      <c r="O27" s="148"/>
      <c r="P27" s="147" t="s">
        <v>385</v>
      </c>
      <c r="Q27" s="148"/>
      <c r="R27" s="148"/>
    </row>
    <row r="28" customFormat="false" ht="15.75" hidden="false" customHeight="true" outlineLevel="0" collapsed="false">
      <c r="A28" s="147" t="s">
        <v>386</v>
      </c>
      <c r="B28" s="148"/>
      <c r="C28" s="148"/>
      <c r="D28" s="147" t="s">
        <v>387</v>
      </c>
      <c r="E28" s="148"/>
      <c r="F28" s="148"/>
      <c r="G28" s="147" t="s">
        <v>387</v>
      </c>
      <c r="H28" s="148"/>
      <c r="I28" s="148"/>
      <c r="J28" s="147" t="s">
        <v>387</v>
      </c>
      <c r="K28" s="148"/>
      <c r="L28" s="148"/>
      <c r="M28" s="147" t="s">
        <v>387</v>
      </c>
      <c r="N28" s="148"/>
      <c r="O28" s="148"/>
      <c r="P28" s="147" t="s">
        <v>387</v>
      </c>
      <c r="Q28" s="148"/>
      <c r="R28" s="148"/>
    </row>
    <row r="29" customFormat="false" ht="15.75" hidden="false" customHeight="true" outlineLevel="0" collapsed="false">
      <c r="A29" s="147" t="s">
        <v>117</v>
      </c>
      <c r="B29" s="148"/>
      <c r="C29" s="148"/>
      <c r="D29" s="147" t="s">
        <v>388</v>
      </c>
      <c r="E29" s="148"/>
      <c r="F29" s="148"/>
      <c r="G29" s="147" t="s">
        <v>388</v>
      </c>
      <c r="H29" s="148"/>
      <c r="I29" s="148"/>
      <c r="J29" s="147" t="s">
        <v>388</v>
      </c>
      <c r="K29" s="148"/>
      <c r="L29" s="148"/>
      <c r="M29" s="147" t="s">
        <v>388</v>
      </c>
      <c r="N29" s="148"/>
      <c r="O29" s="148"/>
      <c r="P29" s="147" t="s">
        <v>388</v>
      </c>
      <c r="Q29" s="148"/>
      <c r="R29" s="148"/>
    </row>
    <row r="30" customFormat="false" ht="15.75" hidden="false" customHeight="true" outlineLevel="0" collapsed="false">
      <c r="A30" s="147" t="s">
        <v>1</v>
      </c>
      <c r="B30" s="148"/>
      <c r="C30" s="148"/>
      <c r="D30" s="147" t="s">
        <v>389</v>
      </c>
      <c r="E30" s="148"/>
      <c r="F30" s="148"/>
      <c r="G30" s="147" t="s">
        <v>389</v>
      </c>
      <c r="H30" s="148"/>
      <c r="I30" s="148"/>
      <c r="J30" s="147" t="s">
        <v>389</v>
      </c>
      <c r="K30" s="148"/>
      <c r="L30" s="148"/>
      <c r="M30" s="147" t="s">
        <v>389</v>
      </c>
      <c r="N30" s="148"/>
      <c r="O30" s="148"/>
      <c r="P30" s="147" t="s">
        <v>389</v>
      </c>
      <c r="Q30" s="148"/>
      <c r="R30" s="148"/>
    </row>
    <row r="31" customFormat="false" ht="15.75" hidden="false" customHeight="true" outlineLevel="0" collapsed="false">
      <c r="A31" s="147" t="s">
        <v>6</v>
      </c>
      <c r="B31" s="148"/>
      <c r="C31" s="148"/>
      <c r="D31" s="147" t="s">
        <v>390</v>
      </c>
      <c r="E31" s="148"/>
      <c r="F31" s="148"/>
      <c r="G31" s="147" t="s">
        <v>390</v>
      </c>
      <c r="H31" s="148"/>
      <c r="I31" s="148"/>
      <c r="J31" s="147" t="s">
        <v>390</v>
      </c>
      <c r="K31" s="148"/>
      <c r="L31" s="148"/>
      <c r="M31" s="147" t="s">
        <v>390</v>
      </c>
      <c r="N31" s="148"/>
      <c r="O31" s="148"/>
      <c r="P31" s="147" t="s">
        <v>390</v>
      </c>
      <c r="Q31" s="148"/>
      <c r="R31" s="148"/>
    </row>
    <row r="32" customFormat="false" ht="15.75" hidden="false" customHeight="true" outlineLevel="0" collapsed="false">
      <c r="A32" s="147" t="s">
        <v>3</v>
      </c>
      <c r="B32" s="148"/>
      <c r="C32" s="148"/>
      <c r="D32" s="147" t="s">
        <v>391</v>
      </c>
      <c r="E32" s="148"/>
      <c r="F32" s="148"/>
      <c r="G32" s="147" t="s">
        <v>391</v>
      </c>
      <c r="H32" s="148"/>
      <c r="I32" s="148"/>
      <c r="J32" s="147" t="s">
        <v>391</v>
      </c>
      <c r="K32" s="148"/>
      <c r="L32" s="148"/>
      <c r="M32" s="147" t="s">
        <v>391</v>
      </c>
      <c r="N32" s="148"/>
      <c r="O32" s="148"/>
      <c r="P32" s="147" t="s">
        <v>391</v>
      </c>
      <c r="Q32" s="148"/>
      <c r="R32" s="148"/>
    </row>
    <row r="33" customFormat="false" ht="15.75" hidden="false" customHeight="true" outlineLevel="0" collapsed="false">
      <c r="A33" s="147" t="s">
        <v>392</v>
      </c>
      <c r="B33" s="148"/>
      <c r="C33" s="148"/>
      <c r="D33" s="147" t="s">
        <v>393</v>
      </c>
      <c r="E33" s="148"/>
      <c r="F33" s="148"/>
      <c r="G33" s="147" t="s">
        <v>393</v>
      </c>
      <c r="H33" s="148"/>
      <c r="I33" s="148"/>
      <c r="J33" s="147" t="s">
        <v>393</v>
      </c>
      <c r="K33" s="148"/>
      <c r="L33" s="148"/>
      <c r="M33" s="147" t="s">
        <v>393</v>
      </c>
      <c r="N33" s="148"/>
      <c r="O33" s="148"/>
      <c r="P33" s="147" t="s">
        <v>393</v>
      </c>
      <c r="Q33" s="148"/>
      <c r="R33" s="148"/>
    </row>
    <row r="34" customFormat="false" ht="15.75" hidden="false" customHeight="true" outlineLevel="0" collapsed="false">
      <c r="A34" s="147" t="s">
        <v>394</v>
      </c>
      <c r="B34" s="148"/>
      <c r="C34" s="148"/>
      <c r="D34" s="147" t="s">
        <v>395</v>
      </c>
      <c r="E34" s="148"/>
      <c r="F34" s="148"/>
      <c r="G34" s="147" t="s">
        <v>395</v>
      </c>
      <c r="H34" s="148"/>
      <c r="I34" s="148"/>
      <c r="J34" s="147" t="s">
        <v>395</v>
      </c>
      <c r="K34" s="148"/>
      <c r="L34" s="148"/>
      <c r="M34" s="147" t="s">
        <v>395</v>
      </c>
      <c r="N34" s="148"/>
      <c r="O34" s="148"/>
      <c r="P34" s="147" t="s">
        <v>395</v>
      </c>
      <c r="Q34" s="148"/>
      <c r="R34" s="148"/>
    </row>
    <row r="35" customFormat="false" ht="15.75" hidden="false" customHeight="true" outlineLevel="0" collapsed="false">
      <c r="A35" s="147"/>
      <c r="B35" s="148"/>
      <c r="C35" s="148"/>
      <c r="D35" s="147" t="s">
        <v>396</v>
      </c>
      <c r="E35" s="148"/>
      <c r="F35" s="148"/>
      <c r="G35" s="147" t="s">
        <v>396</v>
      </c>
      <c r="H35" s="148"/>
      <c r="I35" s="148"/>
      <c r="J35" s="147" t="s">
        <v>396</v>
      </c>
      <c r="K35" s="148"/>
      <c r="L35" s="148"/>
      <c r="M35" s="147" t="s">
        <v>396</v>
      </c>
      <c r="N35" s="148"/>
      <c r="O35" s="148"/>
      <c r="P35" s="147" t="s">
        <v>396</v>
      </c>
      <c r="Q35" s="148"/>
      <c r="R35" s="148"/>
    </row>
    <row r="36" customFormat="false" ht="15.75" hidden="false" customHeight="true" outlineLevel="0" collapsed="false">
      <c r="A36" s="147"/>
      <c r="B36" s="148"/>
      <c r="C36" s="148"/>
      <c r="D36" s="147" t="s">
        <v>397</v>
      </c>
      <c r="E36" s="148"/>
      <c r="F36" s="148"/>
      <c r="G36" s="147" t="s">
        <v>397</v>
      </c>
      <c r="H36" s="148"/>
      <c r="I36" s="148"/>
      <c r="J36" s="147" t="s">
        <v>397</v>
      </c>
      <c r="K36" s="148"/>
      <c r="L36" s="148"/>
      <c r="M36" s="147" t="s">
        <v>397</v>
      </c>
      <c r="N36" s="148"/>
      <c r="O36" s="148"/>
      <c r="P36" s="147" t="s">
        <v>397</v>
      </c>
      <c r="Q36" s="148"/>
      <c r="R36" s="148"/>
    </row>
    <row r="37" customFormat="false" ht="15.75" hidden="false" customHeight="true" outlineLevel="0" collapsed="false">
      <c r="A37" s="149"/>
      <c r="B37" s="150"/>
      <c r="C37" s="150"/>
      <c r="D37" s="149"/>
      <c r="E37" s="150"/>
      <c r="F37" s="150"/>
      <c r="G37" s="149"/>
      <c r="H37" s="150"/>
      <c r="I37" s="150"/>
      <c r="J37" s="149"/>
      <c r="K37" s="150"/>
      <c r="L37" s="150"/>
      <c r="M37" s="149"/>
      <c r="N37" s="150"/>
      <c r="O37" s="150"/>
      <c r="P37" s="149"/>
      <c r="Q37" s="150"/>
      <c r="R37" s="150"/>
    </row>
    <row r="38" customFormat="false" ht="15.75" hidden="false" customHeight="true" outlineLevel="0" collapsed="false"/>
    <row r="39" customFormat="false" ht="15.75" hidden="false" customHeight="true" outlineLevel="0" collapsed="false">
      <c r="A39" s="145"/>
      <c r="B39" s="146"/>
      <c r="C39" s="146"/>
      <c r="D39" s="145" t="s">
        <v>373</v>
      </c>
      <c r="E39" s="146"/>
      <c r="F39" s="146"/>
      <c r="G39" s="145" t="s">
        <v>374</v>
      </c>
      <c r="H39" s="146"/>
      <c r="I39" s="146"/>
      <c r="J39" s="145" t="s">
        <v>375</v>
      </c>
      <c r="K39" s="146"/>
      <c r="L39" s="146"/>
      <c r="M39" s="145" t="s">
        <v>376</v>
      </c>
      <c r="N39" s="146"/>
      <c r="O39" s="146"/>
      <c r="P39" s="145" t="s">
        <v>377</v>
      </c>
      <c r="Q39" s="146"/>
      <c r="R39" s="146"/>
    </row>
    <row r="40" customFormat="false" ht="15.75" hidden="false" customHeight="true" outlineLevel="0" collapsed="false">
      <c r="A40" s="147" t="s">
        <v>364</v>
      </c>
      <c r="B40" s="148"/>
      <c r="C40" s="148"/>
      <c r="D40" s="147" t="s">
        <v>148</v>
      </c>
      <c r="E40" s="148"/>
      <c r="F40" s="148"/>
      <c r="G40" s="147" t="s">
        <v>148</v>
      </c>
      <c r="H40" s="148"/>
      <c r="I40" s="148"/>
      <c r="J40" s="147" t="s">
        <v>148</v>
      </c>
      <c r="K40" s="148"/>
      <c r="L40" s="148"/>
      <c r="M40" s="147" t="s">
        <v>148</v>
      </c>
      <c r="N40" s="148"/>
      <c r="O40" s="148"/>
      <c r="P40" s="147" t="s">
        <v>148</v>
      </c>
      <c r="Q40" s="148"/>
      <c r="R40" s="148"/>
    </row>
    <row r="41" customFormat="false" ht="15.75" hidden="false" customHeight="true" outlineLevel="0" collapsed="false">
      <c r="A41" s="147" t="s">
        <v>378</v>
      </c>
      <c r="B41" s="148"/>
      <c r="C41" s="148"/>
      <c r="D41" s="147" t="s">
        <v>379</v>
      </c>
      <c r="E41" s="148"/>
      <c r="F41" s="148"/>
      <c r="G41" s="147" t="s">
        <v>379</v>
      </c>
      <c r="H41" s="148"/>
      <c r="I41" s="148"/>
      <c r="J41" s="147" t="s">
        <v>379</v>
      </c>
      <c r="K41" s="148"/>
      <c r="L41" s="148"/>
      <c r="M41" s="147" t="s">
        <v>379</v>
      </c>
      <c r="N41" s="148"/>
      <c r="O41" s="148"/>
      <c r="P41" s="147" t="s">
        <v>379</v>
      </c>
      <c r="Q41" s="148"/>
      <c r="R41" s="148"/>
    </row>
    <row r="42" customFormat="false" ht="15.75" hidden="false" customHeight="true" outlineLevel="0" collapsed="false">
      <c r="A42" s="147" t="s">
        <v>4</v>
      </c>
      <c r="B42" s="148"/>
      <c r="C42" s="148"/>
      <c r="D42" s="147" t="s">
        <v>380</v>
      </c>
      <c r="E42" s="148"/>
      <c r="F42" s="148"/>
      <c r="G42" s="147" t="s">
        <v>380</v>
      </c>
      <c r="H42" s="148"/>
      <c r="I42" s="148"/>
      <c r="J42" s="147" t="s">
        <v>380</v>
      </c>
      <c r="K42" s="148"/>
      <c r="L42" s="148"/>
      <c r="M42" s="147" t="s">
        <v>380</v>
      </c>
      <c r="N42" s="148"/>
      <c r="O42" s="148"/>
      <c r="P42" s="147" t="s">
        <v>380</v>
      </c>
      <c r="Q42" s="148"/>
      <c r="R42" s="148"/>
    </row>
    <row r="43" customFormat="false" ht="15.75" hidden="false" customHeight="true" outlineLevel="0" collapsed="false">
      <c r="A43" s="147" t="s">
        <v>381</v>
      </c>
      <c r="B43" s="148"/>
      <c r="C43" s="148"/>
      <c r="D43" s="147" t="s">
        <v>382</v>
      </c>
      <c r="E43" s="148"/>
      <c r="F43" s="148"/>
      <c r="G43" s="147" t="s">
        <v>382</v>
      </c>
      <c r="H43" s="148"/>
      <c r="I43" s="148"/>
      <c r="J43" s="147" t="s">
        <v>382</v>
      </c>
      <c r="K43" s="148"/>
      <c r="L43" s="148"/>
      <c r="M43" s="147" t="s">
        <v>382</v>
      </c>
      <c r="N43" s="148"/>
      <c r="O43" s="148"/>
      <c r="P43" s="147" t="s">
        <v>382</v>
      </c>
      <c r="Q43" s="148"/>
      <c r="R43" s="148"/>
    </row>
    <row r="44" customFormat="false" ht="15.75" hidden="false" customHeight="true" outlineLevel="0" collapsed="false">
      <c r="A44" s="147" t="s">
        <v>383</v>
      </c>
      <c r="B44" s="148"/>
      <c r="C44" s="148"/>
      <c r="D44" s="147" t="s">
        <v>384</v>
      </c>
      <c r="E44" s="148"/>
      <c r="F44" s="148"/>
      <c r="G44" s="147" t="s">
        <v>384</v>
      </c>
      <c r="H44" s="148"/>
      <c r="I44" s="148"/>
      <c r="J44" s="147" t="s">
        <v>384</v>
      </c>
      <c r="K44" s="148"/>
      <c r="L44" s="148"/>
      <c r="M44" s="147" t="s">
        <v>384</v>
      </c>
      <c r="N44" s="148"/>
      <c r="O44" s="148"/>
      <c r="P44" s="147" t="s">
        <v>384</v>
      </c>
      <c r="Q44" s="148"/>
      <c r="R44" s="148"/>
    </row>
    <row r="45" customFormat="false" ht="15.75" hidden="false" customHeight="true" outlineLevel="0" collapsed="false">
      <c r="A45" s="147" t="s">
        <v>243</v>
      </c>
      <c r="B45" s="148"/>
      <c r="C45" s="148"/>
      <c r="D45" s="147" t="s">
        <v>347</v>
      </c>
      <c r="E45" s="148"/>
      <c r="F45" s="148"/>
      <c r="G45" s="147" t="s">
        <v>347</v>
      </c>
      <c r="H45" s="148"/>
      <c r="I45" s="148"/>
      <c r="J45" s="147" t="s">
        <v>347</v>
      </c>
      <c r="K45" s="148"/>
      <c r="L45" s="148"/>
      <c r="M45" s="147" t="s">
        <v>347</v>
      </c>
      <c r="N45" s="148"/>
      <c r="O45" s="148"/>
      <c r="P45" s="147" t="s">
        <v>347</v>
      </c>
      <c r="Q45" s="148"/>
      <c r="R45" s="148"/>
    </row>
    <row r="46" customFormat="false" ht="15.75" hidden="false" customHeight="true" outlineLevel="0" collapsed="false">
      <c r="A46" s="147" t="s">
        <v>19</v>
      </c>
      <c r="B46" s="148"/>
      <c r="C46" s="148"/>
      <c r="D46" s="147" t="s">
        <v>385</v>
      </c>
      <c r="E46" s="148"/>
      <c r="F46" s="148"/>
      <c r="G46" s="147" t="s">
        <v>385</v>
      </c>
      <c r="H46" s="148"/>
      <c r="I46" s="148"/>
      <c r="J46" s="147" t="s">
        <v>385</v>
      </c>
      <c r="K46" s="148"/>
      <c r="L46" s="148"/>
      <c r="M46" s="147" t="s">
        <v>385</v>
      </c>
      <c r="N46" s="148"/>
      <c r="O46" s="148"/>
      <c r="P46" s="147" t="s">
        <v>385</v>
      </c>
      <c r="Q46" s="148"/>
      <c r="R46" s="148"/>
    </row>
    <row r="47" customFormat="false" ht="15.75" hidden="false" customHeight="true" outlineLevel="0" collapsed="false">
      <c r="A47" s="147" t="s">
        <v>386</v>
      </c>
      <c r="B47" s="148"/>
      <c r="C47" s="148"/>
      <c r="D47" s="147" t="s">
        <v>387</v>
      </c>
      <c r="E47" s="148"/>
      <c r="F47" s="148"/>
      <c r="G47" s="147" t="s">
        <v>387</v>
      </c>
      <c r="H47" s="148"/>
      <c r="I47" s="148"/>
      <c r="J47" s="147" t="s">
        <v>387</v>
      </c>
      <c r="K47" s="148"/>
      <c r="L47" s="148"/>
      <c r="M47" s="147" t="s">
        <v>387</v>
      </c>
      <c r="N47" s="148"/>
      <c r="O47" s="148"/>
      <c r="P47" s="147" t="s">
        <v>387</v>
      </c>
      <c r="Q47" s="148"/>
      <c r="R47" s="148"/>
    </row>
    <row r="48" customFormat="false" ht="15.75" hidden="false" customHeight="true" outlineLevel="0" collapsed="false">
      <c r="A48" s="147" t="s">
        <v>117</v>
      </c>
      <c r="B48" s="148"/>
      <c r="C48" s="148"/>
      <c r="D48" s="147" t="s">
        <v>388</v>
      </c>
      <c r="E48" s="148"/>
      <c r="F48" s="148"/>
      <c r="G48" s="147" t="s">
        <v>388</v>
      </c>
      <c r="H48" s="148"/>
      <c r="I48" s="148"/>
      <c r="J48" s="147" t="s">
        <v>388</v>
      </c>
      <c r="K48" s="148"/>
      <c r="L48" s="148"/>
      <c r="M48" s="147" t="s">
        <v>388</v>
      </c>
      <c r="N48" s="148"/>
      <c r="O48" s="148"/>
      <c r="P48" s="147" t="s">
        <v>388</v>
      </c>
      <c r="Q48" s="148"/>
      <c r="R48" s="148"/>
    </row>
    <row r="49" customFormat="false" ht="15.75" hidden="false" customHeight="true" outlineLevel="0" collapsed="false">
      <c r="A49" s="147" t="s">
        <v>1</v>
      </c>
      <c r="B49" s="148"/>
      <c r="C49" s="148"/>
      <c r="D49" s="147" t="s">
        <v>389</v>
      </c>
      <c r="E49" s="148"/>
      <c r="F49" s="148"/>
      <c r="G49" s="147" t="s">
        <v>389</v>
      </c>
      <c r="H49" s="148"/>
      <c r="I49" s="148"/>
      <c r="J49" s="147" t="s">
        <v>389</v>
      </c>
      <c r="K49" s="148"/>
      <c r="L49" s="148"/>
      <c r="M49" s="147" t="s">
        <v>389</v>
      </c>
      <c r="N49" s="148"/>
      <c r="O49" s="148"/>
      <c r="P49" s="147" t="s">
        <v>389</v>
      </c>
      <c r="Q49" s="148"/>
      <c r="R49" s="148"/>
    </row>
    <row r="50" customFormat="false" ht="15.75" hidden="false" customHeight="true" outlineLevel="0" collapsed="false">
      <c r="A50" s="147" t="s">
        <v>6</v>
      </c>
      <c r="B50" s="148"/>
      <c r="C50" s="148"/>
      <c r="D50" s="147" t="s">
        <v>390</v>
      </c>
      <c r="E50" s="148"/>
      <c r="F50" s="148"/>
      <c r="G50" s="147" t="s">
        <v>390</v>
      </c>
      <c r="H50" s="148"/>
      <c r="I50" s="148"/>
      <c r="J50" s="147" t="s">
        <v>390</v>
      </c>
      <c r="K50" s="148"/>
      <c r="L50" s="148"/>
      <c r="M50" s="147" t="s">
        <v>390</v>
      </c>
      <c r="N50" s="148"/>
      <c r="O50" s="148"/>
      <c r="P50" s="147" t="s">
        <v>390</v>
      </c>
      <c r="Q50" s="148"/>
      <c r="R50" s="148"/>
    </row>
    <row r="51" customFormat="false" ht="15.75" hidden="false" customHeight="true" outlineLevel="0" collapsed="false">
      <c r="A51" s="147" t="s">
        <v>3</v>
      </c>
      <c r="B51" s="148"/>
      <c r="C51" s="148"/>
      <c r="D51" s="147" t="s">
        <v>391</v>
      </c>
      <c r="E51" s="148"/>
      <c r="F51" s="148"/>
      <c r="G51" s="147" t="s">
        <v>391</v>
      </c>
      <c r="H51" s="148"/>
      <c r="I51" s="148"/>
      <c r="J51" s="147" t="s">
        <v>391</v>
      </c>
      <c r="K51" s="148"/>
      <c r="L51" s="148"/>
      <c r="M51" s="147" t="s">
        <v>391</v>
      </c>
      <c r="N51" s="148"/>
      <c r="O51" s="148"/>
      <c r="P51" s="147" t="s">
        <v>391</v>
      </c>
      <c r="Q51" s="148"/>
      <c r="R51" s="148"/>
    </row>
    <row r="52" customFormat="false" ht="15.75" hidden="false" customHeight="true" outlineLevel="0" collapsed="false">
      <c r="A52" s="147" t="s">
        <v>392</v>
      </c>
      <c r="B52" s="148"/>
      <c r="C52" s="148"/>
      <c r="D52" s="147" t="s">
        <v>393</v>
      </c>
      <c r="E52" s="148"/>
      <c r="F52" s="148"/>
      <c r="G52" s="147" t="s">
        <v>393</v>
      </c>
      <c r="H52" s="148"/>
      <c r="I52" s="148"/>
      <c r="J52" s="147" t="s">
        <v>393</v>
      </c>
      <c r="K52" s="148"/>
      <c r="L52" s="148"/>
      <c r="M52" s="147" t="s">
        <v>393</v>
      </c>
      <c r="N52" s="148"/>
      <c r="O52" s="148"/>
      <c r="P52" s="147" t="s">
        <v>393</v>
      </c>
      <c r="Q52" s="148"/>
      <c r="R52" s="148"/>
    </row>
    <row r="53" customFormat="false" ht="15.75" hidden="false" customHeight="true" outlineLevel="0" collapsed="false">
      <c r="A53" s="147" t="s">
        <v>394</v>
      </c>
      <c r="B53" s="148"/>
      <c r="C53" s="148"/>
      <c r="D53" s="147" t="s">
        <v>395</v>
      </c>
      <c r="E53" s="148"/>
      <c r="F53" s="148"/>
      <c r="G53" s="147" t="s">
        <v>395</v>
      </c>
      <c r="H53" s="148"/>
      <c r="I53" s="148"/>
      <c r="J53" s="147" t="s">
        <v>395</v>
      </c>
      <c r="K53" s="148"/>
      <c r="L53" s="148"/>
      <c r="M53" s="147" t="s">
        <v>395</v>
      </c>
      <c r="N53" s="148"/>
      <c r="O53" s="148"/>
      <c r="P53" s="147" t="s">
        <v>395</v>
      </c>
      <c r="Q53" s="148"/>
      <c r="R53" s="148"/>
    </row>
    <row r="54" customFormat="false" ht="15.75" hidden="false" customHeight="true" outlineLevel="0" collapsed="false">
      <c r="A54" s="147"/>
      <c r="B54" s="148"/>
      <c r="C54" s="148"/>
      <c r="D54" s="147" t="s">
        <v>396</v>
      </c>
      <c r="E54" s="148"/>
      <c r="F54" s="148"/>
      <c r="G54" s="147" t="s">
        <v>396</v>
      </c>
      <c r="H54" s="148"/>
      <c r="I54" s="148"/>
      <c r="J54" s="147" t="s">
        <v>396</v>
      </c>
      <c r="K54" s="148"/>
      <c r="L54" s="148"/>
      <c r="M54" s="147" t="s">
        <v>396</v>
      </c>
      <c r="N54" s="148"/>
      <c r="O54" s="148"/>
      <c r="P54" s="147" t="s">
        <v>396</v>
      </c>
      <c r="Q54" s="148"/>
      <c r="R54" s="148"/>
    </row>
    <row r="55" customFormat="false" ht="15.75" hidden="false" customHeight="true" outlineLevel="0" collapsed="false">
      <c r="A55" s="147"/>
      <c r="B55" s="148"/>
      <c r="C55" s="148"/>
      <c r="D55" s="147" t="s">
        <v>397</v>
      </c>
      <c r="E55" s="148"/>
      <c r="F55" s="148"/>
      <c r="G55" s="147" t="s">
        <v>397</v>
      </c>
      <c r="H55" s="148"/>
      <c r="I55" s="148"/>
      <c r="J55" s="147" t="s">
        <v>397</v>
      </c>
      <c r="K55" s="148"/>
      <c r="L55" s="148"/>
      <c r="M55" s="147" t="s">
        <v>397</v>
      </c>
      <c r="N55" s="148"/>
      <c r="O55" s="148"/>
      <c r="P55" s="147" t="s">
        <v>397</v>
      </c>
      <c r="Q55" s="148"/>
      <c r="R55" s="148"/>
    </row>
    <row r="56" customFormat="false" ht="15.75" hidden="false" customHeight="true" outlineLevel="0" collapsed="false">
      <c r="A56" s="149"/>
      <c r="B56" s="150"/>
      <c r="C56" s="150"/>
      <c r="D56" s="149"/>
      <c r="E56" s="150"/>
      <c r="F56" s="150"/>
      <c r="G56" s="149"/>
      <c r="H56" s="150"/>
      <c r="I56" s="150"/>
      <c r="J56" s="149"/>
      <c r="K56" s="150"/>
      <c r="L56" s="150"/>
      <c r="M56" s="149"/>
      <c r="N56" s="150"/>
      <c r="O56" s="150"/>
      <c r="P56" s="149"/>
      <c r="Q56" s="150"/>
      <c r="R56" s="150"/>
    </row>
    <row r="57" customFormat="false" ht="15.75" hidden="false" customHeight="true" outlineLevel="0" collapsed="false"/>
    <row r="58" customFormat="false" ht="15.75" hidden="false" customHeight="true" outlineLevel="0" collapsed="false">
      <c r="A58" s="145"/>
      <c r="B58" s="146"/>
      <c r="C58" s="146"/>
      <c r="D58" s="145" t="s">
        <v>373</v>
      </c>
      <c r="E58" s="146"/>
      <c r="F58" s="146"/>
      <c r="G58" s="145" t="s">
        <v>374</v>
      </c>
      <c r="H58" s="146"/>
      <c r="I58" s="146"/>
      <c r="J58" s="145" t="s">
        <v>375</v>
      </c>
      <c r="K58" s="146"/>
      <c r="L58" s="146"/>
      <c r="M58" s="145" t="s">
        <v>376</v>
      </c>
      <c r="N58" s="146"/>
      <c r="O58" s="146"/>
      <c r="P58" s="145" t="s">
        <v>377</v>
      </c>
      <c r="Q58" s="146"/>
      <c r="R58" s="146"/>
    </row>
    <row r="59" customFormat="false" ht="15.75" hidden="false" customHeight="true" outlineLevel="0" collapsed="false">
      <c r="A59" s="147" t="s">
        <v>364</v>
      </c>
      <c r="B59" s="148"/>
      <c r="C59" s="148"/>
      <c r="D59" s="147" t="s">
        <v>148</v>
      </c>
      <c r="E59" s="148"/>
      <c r="F59" s="148"/>
      <c r="G59" s="147" t="s">
        <v>148</v>
      </c>
      <c r="H59" s="148"/>
      <c r="I59" s="148"/>
      <c r="J59" s="147" t="s">
        <v>148</v>
      </c>
      <c r="K59" s="148"/>
      <c r="L59" s="148"/>
      <c r="M59" s="147" t="s">
        <v>148</v>
      </c>
      <c r="N59" s="148"/>
      <c r="O59" s="148"/>
      <c r="P59" s="147" t="s">
        <v>148</v>
      </c>
      <c r="Q59" s="148"/>
      <c r="R59" s="148"/>
    </row>
    <row r="60" customFormat="false" ht="15.75" hidden="false" customHeight="true" outlineLevel="0" collapsed="false">
      <c r="A60" s="147" t="s">
        <v>378</v>
      </c>
      <c r="B60" s="148"/>
      <c r="C60" s="148"/>
      <c r="D60" s="147" t="s">
        <v>379</v>
      </c>
      <c r="E60" s="148"/>
      <c r="F60" s="148"/>
      <c r="G60" s="147" t="s">
        <v>379</v>
      </c>
      <c r="H60" s="148"/>
      <c r="I60" s="148"/>
      <c r="J60" s="147" t="s">
        <v>379</v>
      </c>
      <c r="K60" s="148"/>
      <c r="L60" s="148"/>
      <c r="M60" s="147" t="s">
        <v>379</v>
      </c>
      <c r="N60" s="148"/>
      <c r="O60" s="148"/>
      <c r="P60" s="147" t="s">
        <v>379</v>
      </c>
      <c r="Q60" s="148"/>
      <c r="R60" s="148"/>
    </row>
    <row r="61" customFormat="false" ht="15.75" hidden="false" customHeight="true" outlineLevel="0" collapsed="false">
      <c r="A61" s="147" t="s">
        <v>4</v>
      </c>
      <c r="B61" s="148"/>
      <c r="C61" s="148"/>
      <c r="D61" s="147" t="s">
        <v>380</v>
      </c>
      <c r="E61" s="148"/>
      <c r="F61" s="148"/>
      <c r="G61" s="147" t="s">
        <v>380</v>
      </c>
      <c r="H61" s="148"/>
      <c r="I61" s="148"/>
      <c r="J61" s="147" t="s">
        <v>380</v>
      </c>
      <c r="K61" s="148"/>
      <c r="L61" s="148"/>
      <c r="M61" s="147" t="s">
        <v>380</v>
      </c>
      <c r="N61" s="148"/>
      <c r="O61" s="148"/>
      <c r="P61" s="147" t="s">
        <v>380</v>
      </c>
      <c r="Q61" s="148"/>
      <c r="R61" s="148"/>
    </row>
    <row r="62" customFormat="false" ht="15.75" hidden="false" customHeight="true" outlineLevel="0" collapsed="false">
      <c r="A62" s="147" t="s">
        <v>381</v>
      </c>
      <c r="B62" s="148"/>
      <c r="C62" s="148"/>
      <c r="D62" s="147" t="s">
        <v>382</v>
      </c>
      <c r="E62" s="148"/>
      <c r="F62" s="148"/>
      <c r="G62" s="147" t="s">
        <v>382</v>
      </c>
      <c r="H62" s="148"/>
      <c r="I62" s="148"/>
      <c r="J62" s="147" t="s">
        <v>382</v>
      </c>
      <c r="K62" s="148"/>
      <c r="L62" s="148"/>
      <c r="M62" s="147" t="s">
        <v>382</v>
      </c>
      <c r="N62" s="148"/>
      <c r="O62" s="148"/>
      <c r="P62" s="147" t="s">
        <v>382</v>
      </c>
      <c r="Q62" s="148"/>
      <c r="R62" s="148"/>
    </row>
    <row r="63" customFormat="false" ht="15.75" hidden="false" customHeight="true" outlineLevel="0" collapsed="false">
      <c r="A63" s="147" t="s">
        <v>383</v>
      </c>
      <c r="B63" s="148"/>
      <c r="C63" s="148"/>
      <c r="D63" s="147" t="s">
        <v>384</v>
      </c>
      <c r="E63" s="148"/>
      <c r="F63" s="148"/>
      <c r="G63" s="147" t="s">
        <v>384</v>
      </c>
      <c r="H63" s="148"/>
      <c r="I63" s="148"/>
      <c r="J63" s="147" t="s">
        <v>384</v>
      </c>
      <c r="K63" s="148"/>
      <c r="L63" s="148"/>
      <c r="M63" s="147" t="s">
        <v>384</v>
      </c>
      <c r="N63" s="148"/>
      <c r="O63" s="148"/>
      <c r="P63" s="147" t="s">
        <v>384</v>
      </c>
      <c r="Q63" s="148"/>
      <c r="R63" s="148"/>
    </row>
    <row r="64" customFormat="false" ht="15.75" hidden="false" customHeight="true" outlineLevel="0" collapsed="false">
      <c r="A64" s="147" t="s">
        <v>243</v>
      </c>
      <c r="B64" s="148"/>
      <c r="C64" s="148"/>
      <c r="D64" s="147" t="s">
        <v>347</v>
      </c>
      <c r="E64" s="148"/>
      <c r="F64" s="148"/>
      <c r="G64" s="147" t="s">
        <v>347</v>
      </c>
      <c r="H64" s="148"/>
      <c r="I64" s="148"/>
      <c r="J64" s="147" t="s">
        <v>347</v>
      </c>
      <c r="K64" s="148"/>
      <c r="L64" s="148"/>
      <c r="M64" s="147" t="s">
        <v>347</v>
      </c>
      <c r="N64" s="148"/>
      <c r="O64" s="148"/>
      <c r="P64" s="147" t="s">
        <v>347</v>
      </c>
      <c r="Q64" s="148"/>
      <c r="R64" s="148"/>
    </row>
    <row r="65" customFormat="false" ht="15.75" hidden="false" customHeight="true" outlineLevel="0" collapsed="false">
      <c r="A65" s="147" t="s">
        <v>19</v>
      </c>
      <c r="B65" s="148"/>
      <c r="C65" s="148"/>
      <c r="D65" s="147" t="s">
        <v>385</v>
      </c>
      <c r="E65" s="148"/>
      <c r="F65" s="148"/>
      <c r="G65" s="147" t="s">
        <v>385</v>
      </c>
      <c r="H65" s="148"/>
      <c r="I65" s="148"/>
      <c r="J65" s="147" t="s">
        <v>385</v>
      </c>
      <c r="K65" s="148"/>
      <c r="L65" s="148"/>
      <c r="M65" s="147" t="s">
        <v>385</v>
      </c>
      <c r="N65" s="148"/>
      <c r="O65" s="148"/>
      <c r="P65" s="147" t="s">
        <v>385</v>
      </c>
      <c r="Q65" s="148"/>
      <c r="R65" s="148"/>
    </row>
    <row r="66" customFormat="false" ht="15.75" hidden="false" customHeight="true" outlineLevel="0" collapsed="false">
      <c r="A66" s="147" t="s">
        <v>386</v>
      </c>
      <c r="B66" s="148"/>
      <c r="C66" s="148"/>
      <c r="D66" s="147" t="s">
        <v>387</v>
      </c>
      <c r="E66" s="148"/>
      <c r="F66" s="148"/>
      <c r="G66" s="147" t="s">
        <v>387</v>
      </c>
      <c r="H66" s="148"/>
      <c r="I66" s="148"/>
      <c r="J66" s="147" t="s">
        <v>387</v>
      </c>
      <c r="K66" s="148"/>
      <c r="L66" s="148"/>
      <c r="M66" s="147" t="s">
        <v>387</v>
      </c>
      <c r="N66" s="148"/>
      <c r="O66" s="148"/>
      <c r="P66" s="147" t="s">
        <v>387</v>
      </c>
      <c r="Q66" s="148"/>
      <c r="R66" s="148"/>
    </row>
    <row r="67" customFormat="false" ht="15.75" hidden="false" customHeight="true" outlineLevel="0" collapsed="false">
      <c r="A67" s="147" t="s">
        <v>117</v>
      </c>
      <c r="B67" s="148"/>
      <c r="C67" s="148"/>
      <c r="D67" s="147" t="s">
        <v>388</v>
      </c>
      <c r="E67" s="148"/>
      <c r="F67" s="148"/>
      <c r="G67" s="147" t="s">
        <v>388</v>
      </c>
      <c r="H67" s="148"/>
      <c r="I67" s="148"/>
      <c r="J67" s="147" t="s">
        <v>388</v>
      </c>
      <c r="K67" s="148"/>
      <c r="L67" s="148"/>
      <c r="M67" s="147" t="s">
        <v>388</v>
      </c>
      <c r="N67" s="148"/>
      <c r="O67" s="148"/>
      <c r="P67" s="147" t="s">
        <v>388</v>
      </c>
      <c r="Q67" s="148"/>
      <c r="R67" s="148"/>
    </row>
    <row r="68" customFormat="false" ht="15.75" hidden="false" customHeight="true" outlineLevel="0" collapsed="false">
      <c r="A68" s="147" t="s">
        <v>1</v>
      </c>
      <c r="B68" s="148"/>
      <c r="C68" s="148"/>
      <c r="D68" s="147" t="s">
        <v>389</v>
      </c>
      <c r="E68" s="148"/>
      <c r="F68" s="148"/>
      <c r="G68" s="147" t="s">
        <v>389</v>
      </c>
      <c r="H68" s="148"/>
      <c r="I68" s="148"/>
      <c r="J68" s="147" t="s">
        <v>389</v>
      </c>
      <c r="K68" s="148"/>
      <c r="L68" s="148"/>
      <c r="M68" s="147" t="s">
        <v>389</v>
      </c>
      <c r="N68" s="148"/>
      <c r="O68" s="148"/>
      <c r="P68" s="147" t="s">
        <v>389</v>
      </c>
      <c r="Q68" s="148"/>
      <c r="R68" s="148"/>
    </row>
    <row r="69" customFormat="false" ht="15.75" hidden="false" customHeight="true" outlineLevel="0" collapsed="false">
      <c r="A69" s="147" t="s">
        <v>6</v>
      </c>
      <c r="B69" s="148"/>
      <c r="C69" s="148"/>
      <c r="D69" s="147" t="s">
        <v>390</v>
      </c>
      <c r="E69" s="148"/>
      <c r="F69" s="148"/>
      <c r="G69" s="147" t="s">
        <v>390</v>
      </c>
      <c r="H69" s="148"/>
      <c r="I69" s="148"/>
      <c r="J69" s="147" t="s">
        <v>390</v>
      </c>
      <c r="K69" s="148"/>
      <c r="L69" s="148"/>
      <c r="M69" s="147" t="s">
        <v>390</v>
      </c>
      <c r="N69" s="148"/>
      <c r="O69" s="148"/>
      <c r="P69" s="147" t="s">
        <v>390</v>
      </c>
      <c r="Q69" s="148"/>
      <c r="R69" s="148"/>
    </row>
    <row r="70" customFormat="false" ht="15.75" hidden="false" customHeight="true" outlineLevel="0" collapsed="false">
      <c r="A70" s="147" t="s">
        <v>3</v>
      </c>
      <c r="B70" s="148"/>
      <c r="C70" s="148"/>
      <c r="D70" s="147" t="s">
        <v>391</v>
      </c>
      <c r="E70" s="148"/>
      <c r="F70" s="148"/>
      <c r="G70" s="147" t="s">
        <v>391</v>
      </c>
      <c r="H70" s="148"/>
      <c r="I70" s="148"/>
      <c r="J70" s="147" t="s">
        <v>391</v>
      </c>
      <c r="K70" s="148"/>
      <c r="L70" s="148"/>
      <c r="M70" s="147" t="s">
        <v>391</v>
      </c>
      <c r="N70" s="148"/>
      <c r="O70" s="148"/>
      <c r="P70" s="147" t="s">
        <v>391</v>
      </c>
      <c r="Q70" s="148"/>
      <c r="R70" s="148"/>
    </row>
    <row r="71" customFormat="false" ht="15.75" hidden="false" customHeight="true" outlineLevel="0" collapsed="false">
      <c r="A71" s="147" t="s">
        <v>392</v>
      </c>
      <c r="B71" s="148"/>
      <c r="C71" s="148"/>
      <c r="D71" s="147" t="s">
        <v>393</v>
      </c>
      <c r="E71" s="148"/>
      <c r="F71" s="148"/>
      <c r="G71" s="147" t="s">
        <v>393</v>
      </c>
      <c r="H71" s="148"/>
      <c r="I71" s="148"/>
      <c r="J71" s="147" t="s">
        <v>393</v>
      </c>
      <c r="K71" s="148"/>
      <c r="L71" s="148"/>
      <c r="M71" s="147" t="s">
        <v>393</v>
      </c>
      <c r="N71" s="148"/>
      <c r="O71" s="148"/>
      <c r="P71" s="147" t="s">
        <v>393</v>
      </c>
      <c r="Q71" s="148"/>
      <c r="R71" s="148"/>
    </row>
    <row r="72" customFormat="false" ht="15.75" hidden="false" customHeight="true" outlineLevel="0" collapsed="false">
      <c r="A72" s="147" t="s">
        <v>394</v>
      </c>
      <c r="B72" s="148"/>
      <c r="C72" s="148"/>
      <c r="D72" s="147" t="s">
        <v>395</v>
      </c>
      <c r="E72" s="148"/>
      <c r="F72" s="148"/>
      <c r="G72" s="147" t="s">
        <v>395</v>
      </c>
      <c r="H72" s="148"/>
      <c r="I72" s="148"/>
      <c r="J72" s="147" t="s">
        <v>395</v>
      </c>
      <c r="K72" s="148"/>
      <c r="L72" s="148"/>
      <c r="M72" s="147" t="s">
        <v>395</v>
      </c>
      <c r="N72" s="148"/>
      <c r="O72" s="148"/>
      <c r="P72" s="147" t="s">
        <v>395</v>
      </c>
      <c r="Q72" s="148"/>
      <c r="R72" s="148"/>
    </row>
    <row r="73" customFormat="false" ht="15.75" hidden="false" customHeight="true" outlineLevel="0" collapsed="false">
      <c r="A73" s="147"/>
      <c r="B73" s="148"/>
      <c r="C73" s="148"/>
      <c r="D73" s="147" t="s">
        <v>396</v>
      </c>
      <c r="E73" s="148"/>
      <c r="F73" s="148"/>
      <c r="G73" s="147" t="s">
        <v>396</v>
      </c>
      <c r="H73" s="148"/>
      <c r="I73" s="148"/>
      <c r="J73" s="147" t="s">
        <v>396</v>
      </c>
      <c r="K73" s="148"/>
      <c r="L73" s="148"/>
      <c r="M73" s="147" t="s">
        <v>396</v>
      </c>
      <c r="N73" s="148"/>
      <c r="O73" s="148"/>
      <c r="P73" s="147" t="s">
        <v>396</v>
      </c>
      <c r="Q73" s="148"/>
      <c r="R73" s="148"/>
    </row>
    <row r="74" customFormat="false" ht="15.75" hidden="false" customHeight="true" outlineLevel="0" collapsed="false">
      <c r="A74" s="147"/>
      <c r="B74" s="148"/>
      <c r="C74" s="148"/>
      <c r="D74" s="147" t="s">
        <v>397</v>
      </c>
      <c r="E74" s="148"/>
      <c r="F74" s="148"/>
      <c r="G74" s="147" t="s">
        <v>397</v>
      </c>
      <c r="H74" s="148"/>
      <c r="I74" s="148"/>
      <c r="J74" s="147" t="s">
        <v>397</v>
      </c>
      <c r="K74" s="148"/>
      <c r="L74" s="148"/>
      <c r="M74" s="147" t="s">
        <v>397</v>
      </c>
      <c r="N74" s="148"/>
      <c r="O74" s="148"/>
      <c r="P74" s="147" t="s">
        <v>397</v>
      </c>
      <c r="Q74" s="148"/>
      <c r="R74" s="148"/>
    </row>
    <row r="75" customFormat="false" ht="15.75" hidden="false" customHeight="true" outlineLevel="0" collapsed="false">
      <c r="A75" s="149"/>
      <c r="B75" s="150"/>
      <c r="C75" s="150"/>
      <c r="D75" s="149"/>
      <c r="E75" s="150"/>
      <c r="F75" s="150"/>
      <c r="G75" s="149"/>
      <c r="H75" s="150"/>
      <c r="I75" s="150"/>
      <c r="J75" s="149"/>
      <c r="K75" s="150"/>
      <c r="L75" s="150"/>
      <c r="M75" s="149"/>
      <c r="N75" s="150"/>
      <c r="O75" s="150"/>
      <c r="P75" s="149"/>
      <c r="Q75" s="150"/>
      <c r="R75" s="150"/>
    </row>
    <row r="76" customFormat="false" ht="15.75" hidden="false" customHeight="true" outlineLevel="0" collapsed="false"/>
    <row r="77" customFormat="false" ht="15.75" hidden="false" customHeight="true" outlineLevel="0" collapsed="false">
      <c r="A77" s="145"/>
      <c r="B77" s="146"/>
      <c r="C77" s="146"/>
      <c r="D77" s="145" t="s">
        <v>373</v>
      </c>
      <c r="E77" s="146"/>
      <c r="F77" s="146"/>
      <c r="G77" s="145" t="s">
        <v>374</v>
      </c>
      <c r="H77" s="146"/>
      <c r="I77" s="146"/>
      <c r="J77" s="145" t="s">
        <v>375</v>
      </c>
      <c r="K77" s="146"/>
      <c r="L77" s="146"/>
      <c r="M77" s="145" t="s">
        <v>376</v>
      </c>
      <c r="N77" s="146"/>
      <c r="O77" s="146"/>
      <c r="P77" s="145" t="s">
        <v>377</v>
      </c>
      <c r="Q77" s="146"/>
      <c r="R77" s="146"/>
    </row>
    <row r="78" customFormat="false" ht="15.75" hidden="false" customHeight="true" outlineLevel="0" collapsed="false">
      <c r="A78" s="147" t="s">
        <v>364</v>
      </c>
      <c r="B78" s="148"/>
      <c r="C78" s="148"/>
      <c r="D78" s="147" t="s">
        <v>148</v>
      </c>
      <c r="E78" s="148"/>
      <c r="F78" s="148"/>
      <c r="G78" s="147" t="s">
        <v>148</v>
      </c>
      <c r="H78" s="148"/>
      <c r="I78" s="148"/>
      <c r="J78" s="147" t="s">
        <v>148</v>
      </c>
      <c r="K78" s="148"/>
      <c r="L78" s="148"/>
      <c r="M78" s="147" t="s">
        <v>148</v>
      </c>
      <c r="N78" s="148"/>
      <c r="O78" s="148"/>
      <c r="P78" s="147" t="s">
        <v>148</v>
      </c>
      <c r="Q78" s="148"/>
      <c r="R78" s="148"/>
    </row>
    <row r="79" customFormat="false" ht="15.75" hidden="false" customHeight="true" outlineLevel="0" collapsed="false">
      <c r="A79" s="147" t="s">
        <v>378</v>
      </c>
      <c r="B79" s="148"/>
      <c r="C79" s="148"/>
      <c r="D79" s="147" t="s">
        <v>379</v>
      </c>
      <c r="E79" s="148"/>
      <c r="F79" s="148"/>
      <c r="G79" s="147" t="s">
        <v>379</v>
      </c>
      <c r="H79" s="148"/>
      <c r="I79" s="148"/>
      <c r="J79" s="147" t="s">
        <v>379</v>
      </c>
      <c r="K79" s="148"/>
      <c r="L79" s="148"/>
      <c r="M79" s="147" t="s">
        <v>379</v>
      </c>
      <c r="N79" s="148"/>
      <c r="O79" s="148"/>
      <c r="P79" s="147" t="s">
        <v>379</v>
      </c>
      <c r="Q79" s="148"/>
      <c r="R79" s="148"/>
    </row>
    <row r="80" customFormat="false" ht="15.75" hidden="false" customHeight="true" outlineLevel="0" collapsed="false">
      <c r="A80" s="147" t="s">
        <v>4</v>
      </c>
      <c r="B80" s="148"/>
      <c r="C80" s="148"/>
      <c r="D80" s="147" t="s">
        <v>380</v>
      </c>
      <c r="E80" s="148"/>
      <c r="F80" s="148"/>
      <c r="G80" s="147" t="s">
        <v>380</v>
      </c>
      <c r="H80" s="148"/>
      <c r="I80" s="148"/>
      <c r="J80" s="147" t="s">
        <v>380</v>
      </c>
      <c r="K80" s="148"/>
      <c r="L80" s="148"/>
      <c r="M80" s="147" t="s">
        <v>380</v>
      </c>
      <c r="N80" s="148"/>
      <c r="O80" s="148"/>
      <c r="P80" s="147" t="s">
        <v>380</v>
      </c>
      <c r="Q80" s="148"/>
      <c r="R80" s="148"/>
    </row>
    <row r="81" customFormat="false" ht="15.75" hidden="false" customHeight="true" outlineLevel="0" collapsed="false">
      <c r="A81" s="147" t="s">
        <v>381</v>
      </c>
      <c r="B81" s="148"/>
      <c r="C81" s="148"/>
      <c r="D81" s="147" t="s">
        <v>382</v>
      </c>
      <c r="E81" s="148"/>
      <c r="F81" s="148"/>
      <c r="G81" s="147" t="s">
        <v>382</v>
      </c>
      <c r="H81" s="148"/>
      <c r="I81" s="148"/>
      <c r="J81" s="147" t="s">
        <v>382</v>
      </c>
      <c r="K81" s="148"/>
      <c r="L81" s="148"/>
      <c r="M81" s="147" t="s">
        <v>382</v>
      </c>
      <c r="N81" s="148"/>
      <c r="O81" s="148"/>
      <c r="P81" s="147" t="s">
        <v>382</v>
      </c>
      <c r="Q81" s="148"/>
      <c r="R81" s="148"/>
    </row>
    <row r="82" customFormat="false" ht="15.75" hidden="false" customHeight="true" outlineLevel="0" collapsed="false">
      <c r="A82" s="147" t="s">
        <v>383</v>
      </c>
      <c r="B82" s="148"/>
      <c r="C82" s="148"/>
      <c r="D82" s="147" t="s">
        <v>384</v>
      </c>
      <c r="E82" s="148"/>
      <c r="F82" s="148"/>
      <c r="G82" s="147" t="s">
        <v>384</v>
      </c>
      <c r="H82" s="148"/>
      <c r="I82" s="148"/>
      <c r="J82" s="147" t="s">
        <v>384</v>
      </c>
      <c r="K82" s="148"/>
      <c r="L82" s="148"/>
      <c r="M82" s="147" t="s">
        <v>384</v>
      </c>
      <c r="N82" s="148"/>
      <c r="O82" s="148"/>
      <c r="P82" s="147" t="s">
        <v>384</v>
      </c>
      <c r="Q82" s="148"/>
      <c r="R82" s="148"/>
    </row>
    <row r="83" customFormat="false" ht="15.75" hidden="false" customHeight="true" outlineLevel="0" collapsed="false">
      <c r="A83" s="147" t="s">
        <v>243</v>
      </c>
      <c r="B83" s="148"/>
      <c r="C83" s="148"/>
      <c r="D83" s="147" t="s">
        <v>347</v>
      </c>
      <c r="E83" s="148"/>
      <c r="F83" s="148"/>
      <c r="G83" s="147" t="s">
        <v>347</v>
      </c>
      <c r="H83" s="148"/>
      <c r="I83" s="148"/>
      <c r="J83" s="147" t="s">
        <v>347</v>
      </c>
      <c r="K83" s="148"/>
      <c r="L83" s="148"/>
      <c r="M83" s="147" t="s">
        <v>347</v>
      </c>
      <c r="N83" s="148"/>
      <c r="O83" s="148"/>
      <c r="P83" s="147" t="s">
        <v>347</v>
      </c>
      <c r="Q83" s="148"/>
      <c r="R83" s="148"/>
    </row>
    <row r="84" customFormat="false" ht="15.75" hidden="false" customHeight="true" outlineLevel="0" collapsed="false">
      <c r="A84" s="147" t="s">
        <v>19</v>
      </c>
      <c r="B84" s="148"/>
      <c r="C84" s="148"/>
      <c r="D84" s="147" t="s">
        <v>385</v>
      </c>
      <c r="E84" s="148"/>
      <c r="F84" s="148"/>
      <c r="G84" s="147" t="s">
        <v>385</v>
      </c>
      <c r="H84" s="148"/>
      <c r="I84" s="148"/>
      <c r="J84" s="147" t="s">
        <v>385</v>
      </c>
      <c r="K84" s="148"/>
      <c r="L84" s="148"/>
      <c r="M84" s="147" t="s">
        <v>385</v>
      </c>
      <c r="N84" s="148"/>
      <c r="O84" s="148"/>
      <c r="P84" s="147" t="s">
        <v>385</v>
      </c>
      <c r="Q84" s="148"/>
      <c r="R84" s="148"/>
    </row>
    <row r="85" customFormat="false" ht="15.75" hidden="false" customHeight="true" outlineLevel="0" collapsed="false">
      <c r="A85" s="147" t="s">
        <v>386</v>
      </c>
      <c r="B85" s="148"/>
      <c r="C85" s="148"/>
      <c r="D85" s="147" t="s">
        <v>387</v>
      </c>
      <c r="E85" s="148"/>
      <c r="F85" s="148"/>
      <c r="G85" s="147" t="s">
        <v>387</v>
      </c>
      <c r="H85" s="148"/>
      <c r="I85" s="148"/>
      <c r="J85" s="147" t="s">
        <v>387</v>
      </c>
      <c r="K85" s="148"/>
      <c r="L85" s="148"/>
      <c r="M85" s="147" t="s">
        <v>387</v>
      </c>
      <c r="N85" s="148"/>
      <c r="O85" s="148"/>
      <c r="P85" s="147" t="s">
        <v>387</v>
      </c>
      <c r="Q85" s="148"/>
      <c r="R85" s="148"/>
    </row>
    <row r="86" customFormat="false" ht="15.75" hidden="false" customHeight="true" outlineLevel="0" collapsed="false">
      <c r="A86" s="147" t="s">
        <v>117</v>
      </c>
      <c r="B86" s="148"/>
      <c r="C86" s="148"/>
      <c r="D86" s="147" t="s">
        <v>388</v>
      </c>
      <c r="E86" s="148"/>
      <c r="F86" s="148"/>
      <c r="G86" s="147" t="s">
        <v>388</v>
      </c>
      <c r="H86" s="148"/>
      <c r="I86" s="148"/>
      <c r="J86" s="147" t="s">
        <v>388</v>
      </c>
      <c r="K86" s="148"/>
      <c r="L86" s="148"/>
      <c r="M86" s="147" t="s">
        <v>388</v>
      </c>
      <c r="N86" s="148"/>
      <c r="O86" s="148"/>
      <c r="P86" s="147" t="s">
        <v>388</v>
      </c>
      <c r="Q86" s="148"/>
      <c r="R86" s="148"/>
    </row>
    <row r="87" customFormat="false" ht="15.75" hidden="false" customHeight="true" outlineLevel="0" collapsed="false">
      <c r="A87" s="147" t="s">
        <v>1</v>
      </c>
      <c r="B87" s="148"/>
      <c r="C87" s="148"/>
      <c r="D87" s="147" t="s">
        <v>389</v>
      </c>
      <c r="E87" s="148"/>
      <c r="F87" s="148"/>
      <c r="G87" s="147" t="s">
        <v>389</v>
      </c>
      <c r="H87" s="148"/>
      <c r="I87" s="148"/>
      <c r="J87" s="147" t="s">
        <v>389</v>
      </c>
      <c r="K87" s="148"/>
      <c r="L87" s="148"/>
      <c r="M87" s="147" t="s">
        <v>389</v>
      </c>
      <c r="N87" s="148"/>
      <c r="O87" s="148"/>
      <c r="P87" s="147" t="s">
        <v>389</v>
      </c>
      <c r="Q87" s="148"/>
      <c r="R87" s="148"/>
    </row>
    <row r="88" customFormat="false" ht="15.75" hidden="false" customHeight="true" outlineLevel="0" collapsed="false">
      <c r="A88" s="147" t="s">
        <v>6</v>
      </c>
      <c r="B88" s="148"/>
      <c r="C88" s="148"/>
      <c r="D88" s="147" t="s">
        <v>390</v>
      </c>
      <c r="E88" s="148"/>
      <c r="F88" s="148"/>
      <c r="G88" s="147" t="s">
        <v>390</v>
      </c>
      <c r="H88" s="148"/>
      <c r="I88" s="148"/>
      <c r="J88" s="147" t="s">
        <v>390</v>
      </c>
      <c r="K88" s="148"/>
      <c r="L88" s="148"/>
      <c r="M88" s="147" t="s">
        <v>390</v>
      </c>
      <c r="N88" s="148"/>
      <c r="O88" s="148"/>
      <c r="P88" s="147" t="s">
        <v>390</v>
      </c>
      <c r="Q88" s="148"/>
      <c r="R88" s="148"/>
    </row>
    <row r="89" customFormat="false" ht="15.75" hidden="false" customHeight="true" outlineLevel="0" collapsed="false">
      <c r="A89" s="147" t="s">
        <v>3</v>
      </c>
      <c r="B89" s="148"/>
      <c r="C89" s="148"/>
      <c r="D89" s="147" t="s">
        <v>391</v>
      </c>
      <c r="E89" s="148"/>
      <c r="F89" s="148"/>
      <c r="G89" s="147" t="s">
        <v>391</v>
      </c>
      <c r="H89" s="148"/>
      <c r="I89" s="148"/>
      <c r="J89" s="147" t="s">
        <v>391</v>
      </c>
      <c r="K89" s="148"/>
      <c r="L89" s="148"/>
      <c r="M89" s="147" t="s">
        <v>391</v>
      </c>
      <c r="N89" s="148"/>
      <c r="O89" s="148"/>
      <c r="P89" s="147" t="s">
        <v>391</v>
      </c>
      <c r="Q89" s="148"/>
      <c r="R89" s="148"/>
    </row>
    <row r="90" customFormat="false" ht="15.75" hidden="false" customHeight="true" outlineLevel="0" collapsed="false">
      <c r="A90" s="147" t="s">
        <v>392</v>
      </c>
      <c r="B90" s="148"/>
      <c r="C90" s="148"/>
      <c r="D90" s="147" t="s">
        <v>393</v>
      </c>
      <c r="E90" s="148"/>
      <c r="F90" s="148"/>
      <c r="G90" s="147" t="s">
        <v>393</v>
      </c>
      <c r="H90" s="148"/>
      <c r="I90" s="148"/>
      <c r="J90" s="147" t="s">
        <v>393</v>
      </c>
      <c r="K90" s="148"/>
      <c r="L90" s="148"/>
      <c r="M90" s="147" t="s">
        <v>393</v>
      </c>
      <c r="N90" s="148"/>
      <c r="O90" s="148"/>
      <c r="P90" s="147" t="s">
        <v>393</v>
      </c>
      <c r="Q90" s="148"/>
      <c r="R90" s="148"/>
    </row>
    <row r="91" customFormat="false" ht="15.75" hidden="false" customHeight="true" outlineLevel="0" collapsed="false">
      <c r="A91" s="147" t="s">
        <v>394</v>
      </c>
      <c r="B91" s="148"/>
      <c r="C91" s="148"/>
      <c r="D91" s="147" t="s">
        <v>395</v>
      </c>
      <c r="E91" s="148"/>
      <c r="F91" s="148"/>
      <c r="G91" s="147" t="s">
        <v>395</v>
      </c>
      <c r="H91" s="148"/>
      <c r="I91" s="148"/>
      <c r="J91" s="147" t="s">
        <v>395</v>
      </c>
      <c r="K91" s="148"/>
      <c r="L91" s="148"/>
      <c r="M91" s="147" t="s">
        <v>395</v>
      </c>
      <c r="N91" s="148"/>
      <c r="O91" s="148"/>
      <c r="P91" s="147" t="s">
        <v>395</v>
      </c>
      <c r="Q91" s="148"/>
      <c r="R91" s="148"/>
    </row>
    <row r="92" customFormat="false" ht="15.75" hidden="false" customHeight="true" outlineLevel="0" collapsed="false">
      <c r="A92" s="147"/>
      <c r="B92" s="148"/>
      <c r="C92" s="148"/>
      <c r="D92" s="147" t="s">
        <v>396</v>
      </c>
      <c r="E92" s="148"/>
      <c r="F92" s="148"/>
      <c r="G92" s="147" t="s">
        <v>396</v>
      </c>
      <c r="H92" s="148"/>
      <c r="I92" s="148"/>
      <c r="J92" s="147" t="s">
        <v>396</v>
      </c>
      <c r="K92" s="148"/>
      <c r="L92" s="148"/>
      <c r="M92" s="147" t="s">
        <v>396</v>
      </c>
      <c r="N92" s="148"/>
      <c r="O92" s="148"/>
      <c r="P92" s="147" t="s">
        <v>396</v>
      </c>
      <c r="Q92" s="148"/>
      <c r="R92" s="148"/>
    </row>
    <row r="93" customFormat="false" ht="15.75" hidden="false" customHeight="true" outlineLevel="0" collapsed="false">
      <c r="A93" s="147"/>
      <c r="B93" s="148"/>
      <c r="C93" s="148"/>
      <c r="D93" s="147" t="s">
        <v>397</v>
      </c>
      <c r="E93" s="148"/>
      <c r="F93" s="148"/>
      <c r="G93" s="147" t="s">
        <v>397</v>
      </c>
      <c r="H93" s="148"/>
      <c r="I93" s="148"/>
      <c r="J93" s="147" t="s">
        <v>397</v>
      </c>
      <c r="K93" s="148"/>
      <c r="L93" s="148"/>
      <c r="M93" s="147" t="s">
        <v>397</v>
      </c>
      <c r="N93" s="148"/>
      <c r="O93" s="148"/>
      <c r="P93" s="147" t="s">
        <v>397</v>
      </c>
      <c r="Q93" s="148"/>
      <c r="R93" s="148"/>
    </row>
    <row r="94" customFormat="false" ht="15.75" hidden="false" customHeight="true" outlineLevel="0" collapsed="false">
      <c r="A94" s="149"/>
      <c r="B94" s="150"/>
      <c r="C94" s="150"/>
      <c r="D94" s="149"/>
      <c r="E94" s="150"/>
      <c r="F94" s="150"/>
      <c r="G94" s="149"/>
      <c r="H94" s="150"/>
      <c r="I94" s="150"/>
      <c r="J94" s="149"/>
      <c r="K94" s="150"/>
      <c r="L94" s="150"/>
      <c r="M94" s="149"/>
      <c r="N94" s="150"/>
      <c r="O94" s="150"/>
      <c r="P94" s="149"/>
      <c r="Q94" s="150"/>
      <c r="R94" s="150"/>
    </row>
    <row r="95" customFormat="false" ht="15.75" hidden="false" customHeight="true" outlineLevel="0" collapsed="false"/>
    <row r="96" customFormat="false" ht="15.75" hidden="false" customHeight="true" outlineLevel="0" collapsed="false">
      <c r="A96" s="145"/>
      <c r="B96" s="146"/>
      <c r="C96" s="146"/>
      <c r="D96" s="145" t="s">
        <v>373</v>
      </c>
      <c r="E96" s="146"/>
      <c r="F96" s="146"/>
      <c r="G96" s="145" t="s">
        <v>374</v>
      </c>
      <c r="H96" s="146"/>
      <c r="I96" s="146"/>
      <c r="J96" s="145" t="s">
        <v>375</v>
      </c>
      <c r="K96" s="146"/>
      <c r="L96" s="146"/>
      <c r="M96" s="145" t="s">
        <v>376</v>
      </c>
      <c r="N96" s="146"/>
      <c r="O96" s="146"/>
      <c r="P96" s="145" t="s">
        <v>377</v>
      </c>
      <c r="Q96" s="146"/>
      <c r="R96" s="146"/>
    </row>
    <row r="97" customFormat="false" ht="15.75" hidden="false" customHeight="true" outlineLevel="0" collapsed="false">
      <c r="A97" s="147" t="s">
        <v>364</v>
      </c>
      <c r="B97" s="148"/>
      <c r="C97" s="148"/>
      <c r="D97" s="147" t="s">
        <v>148</v>
      </c>
      <c r="E97" s="148"/>
      <c r="F97" s="148"/>
      <c r="G97" s="147" t="s">
        <v>148</v>
      </c>
      <c r="H97" s="148"/>
      <c r="I97" s="148"/>
      <c r="J97" s="147" t="s">
        <v>148</v>
      </c>
      <c r="K97" s="148"/>
      <c r="L97" s="148"/>
      <c r="M97" s="147" t="s">
        <v>148</v>
      </c>
      <c r="N97" s="148"/>
      <c r="O97" s="148"/>
      <c r="P97" s="147" t="s">
        <v>148</v>
      </c>
      <c r="Q97" s="148"/>
      <c r="R97" s="148"/>
    </row>
    <row r="98" customFormat="false" ht="15.75" hidden="false" customHeight="true" outlineLevel="0" collapsed="false">
      <c r="A98" s="147" t="s">
        <v>378</v>
      </c>
      <c r="B98" s="148"/>
      <c r="C98" s="148"/>
      <c r="D98" s="147" t="s">
        <v>379</v>
      </c>
      <c r="E98" s="148"/>
      <c r="F98" s="148"/>
      <c r="G98" s="147" t="s">
        <v>379</v>
      </c>
      <c r="H98" s="148"/>
      <c r="I98" s="148"/>
      <c r="J98" s="147" t="s">
        <v>379</v>
      </c>
      <c r="K98" s="148"/>
      <c r="L98" s="148"/>
      <c r="M98" s="147" t="s">
        <v>379</v>
      </c>
      <c r="N98" s="148"/>
      <c r="O98" s="148"/>
      <c r="P98" s="147" t="s">
        <v>379</v>
      </c>
      <c r="Q98" s="148"/>
      <c r="R98" s="148"/>
    </row>
    <row r="99" customFormat="false" ht="15.75" hidden="false" customHeight="true" outlineLevel="0" collapsed="false">
      <c r="A99" s="147" t="s">
        <v>4</v>
      </c>
      <c r="B99" s="148"/>
      <c r="C99" s="148"/>
      <c r="D99" s="147" t="s">
        <v>380</v>
      </c>
      <c r="E99" s="148"/>
      <c r="F99" s="148"/>
      <c r="G99" s="147" t="s">
        <v>380</v>
      </c>
      <c r="H99" s="148"/>
      <c r="I99" s="148"/>
      <c r="J99" s="147" t="s">
        <v>380</v>
      </c>
      <c r="K99" s="148"/>
      <c r="L99" s="148"/>
      <c r="M99" s="147" t="s">
        <v>380</v>
      </c>
      <c r="N99" s="148"/>
      <c r="O99" s="148"/>
      <c r="P99" s="147" t="s">
        <v>380</v>
      </c>
      <c r="Q99" s="148"/>
      <c r="R99" s="148"/>
    </row>
    <row r="100" customFormat="false" ht="15.75" hidden="false" customHeight="true" outlineLevel="0" collapsed="false">
      <c r="A100" s="147" t="s">
        <v>381</v>
      </c>
      <c r="B100" s="148"/>
      <c r="C100" s="148"/>
      <c r="D100" s="147" t="s">
        <v>382</v>
      </c>
      <c r="E100" s="148"/>
      <c r="F100" s="148"/>
      <c r="G100" s="147" t="s">
        <v>382</v>
      </c>
      <c r="H100" s="148"/>
      <c r="I100" s="148"/>
      <c r="J100" s="147" t="s">
        <v>382</v>
      </c>
      <c r="K100" s="148"/>
      <c r="L100" s="148"/>
      <c r="M100" s="147" t="s">
        <v>382</v>
      </c>
      <c r="N100" s="148"/>
      <c r="O100" s="148"/>
      <c r="P100" s="147" t="s">
        <v>382</v>
      </c>
      <c r="Q100" s="148"/>
      <c r="R100" s="148"/>
    </row>
    <row r="101" customFormat="false" ht="15.75" hidden="false" customHeight="true" outlineLevel="0" collapsed="false">
      <c r="A101" s="147" t="s">
        <v>383</v>
      </c>
      <c r="B101" s="148"/>
      <c r="C101" s="148"/>
      <c r="D101" s="147" t="s">
        <v>384</v>
      </c>
      <c r="E101" s="148"/>
      <c r="F101" s="148"/>
      <c r="G101" s="147" t="s">
        <v>384</v>
      </c>
      <c r="H101" s="148"/>
      <c r="I101" s="148"/>
      <c r="J101" s="147" t="s">
        <v>384</v>
      </c>
      <c r="K101" s="148"/>
      <c r="L101" s="148"/>
      <c r="M101" s="147" t="s">
        <v>384</v>
      </c>
      <c r="N101" s="148"/>
      <c r="O101" s="148"/>
      <c r="P101" s="147" t="s">
        <v>384</v>
      </c>
      <c r="Q101" s="148"/>
      <c r="R101" s="148"/>
    </row>
    <row r="102" customFormat="false" ht="15.75" hidden="false" customHeight="true" outlineLevel="0" collapsed="false">
      <c r="A102" s="147" t="s">
        <v>243</v>
      </c>
      <c r="B102" s="148"/>
      <c r="C102" s="148"/>
      <c r="D102" s="147" t="s">
        <v>347</v>
      </c>
      <c r="E102" s="148"/>
      <c r="F102" s="148"/>
      <c r="G102" s="147" t="s">
        <v>347</v>
      </c>
      <c r="H102" s="148"/>
      <c r="I102" s="148"/>
      <c r="J102" s="147" t="s">
        <v>347</v>
      </c>
      <c r="K102" s="148"/>
      <c r="L102" s="148"/>
      <c r="M102" s="147" t="s">
        <v>347</v>
      </c>
      <c r="N102" s="148"/>
      <c r="O102" s="148"/>
      <c r="P102" s="147" t="s">
        <v>347</v>
      </c>
      <c r="Q102" s="148"/>
      <c r="R102" s="148"/>
    </row>
    <row r="103" customFormat="false" ht="15.75" hidden="false" customHeight="true" outlineLevel="0" collapsed="false">
      <c r="A103" s="147" t="s">
        <v>19</v>
      </c>
      <c r="B103" s="148"/>
      <c r="C103" s="148"/>
      <c r="D103" s="147" t="s">
        <v>385</v>
      </c>
      <c r="E103" s="148"/>
      <c r="F103" s="148"/>
      <c r="G103" s="147" t="s">
        <v>385</v>
      </c>
      <c r="H103" s="148"/>
      <c r="I103" s="148"/>
      <c r="J103" s="147" t="s">
        <v>385</v>
      </c>
      <c r="K103" s="148"/>
      <c r="L103" s="148"/>
      <c r="M103" s="147" t="s">
        <v>385</v>
      </c>
      <c r="N103" s="148"/>
      <c r="O103" s="148"/>
      <c r="P103" s="147" t="s">
        <v>385</v>
      </c>
      <c r="Q103" s="148"/>
      <c r="R103" s="148"/>
    </row>
    <row r="104" customFormat="false" ht="15.75" hidden="false" customHeight="true" outlineLevel="0" collapsed="false">
      <c r="A104" s="147" t="s">
        <v>386</v>
      </c>
      <c r="B104" s="148"/>
      <c r="C104" s="148"/>
      <c r="D104" s="147" t="s">
        <v>387</v>
      </c>
      <c r="E104" s="148"/>
      <c r="F104" s="148"/>
      <c r="G104" s="147" t="s">
        <v>387</v>
      </c>
      <c r="H104" s="148"/>
      <c r="I104" s="148"/>
      <c r="J104" s="147" t="s">
        <v>387</v>
      </c>
      <c r="K104" s="148"/>
      <c r="L104" s="148"/>
      <c r="M104" s="147" t="s">
        <v>387</v>
      </c>
      <c r="N104" s="148"/>
      <c r="O104" s="148"/>
      <c r="P104" s="147" t="s">
        <v>387</v>
      </c>
      <c r="Q104" s="148"/>
      <c r="R104" s="148"/>
    </row>
    <row r="105" customFormat="false" ht="15.75" hidden="false" customHeight="true" outlineLevel="0" collapsed="false">
      <c r="A105" s="147" t="s">
        <v>117</v>
      </c>
      <c r="B105" s="148"/>
      <c r="C105" s="148"/>
      <c r="D105" s="147" t="s">
        <v>388</v>
      </c>
      <c r="E105" s="148"/>
      <c r="F105" s="148"/>
      <c r="G105" s="147" t="s">
        <v>388</v>
      </c>
      <c r="H105" s="148"/>
      <c r="I105" s="148"/>
      <c r="J105" s="147" t="s">
        <v>388</v>
      </c>
      <c r="K105" s="148"/>
      <c r="L105" s="148"/>
      <c r="M105" s="147" t="s">
        <v>388</v>
      </c>
      <c r="N105" s="148"/>
      <c r="O105" s="148"/>
      <c r="P105" s="147" t="s">
        <v>388</v>
      </c>
      <c r="Q105" s="148"/>
      <c r="R105" s="148"/>
    </row>
    <row r="106" customFormat="false" ht="15.75" hidden="false" customHeight="true" outlineLevel="0" collapsed="false">
      <c r="A106" s="147" t="s">
        <v>1</v>
      </c>
      <c r="B106" s="148"/>
      <c r="C106" s="148"/>
      <c r="D106" s="147" t="s">
        <v>389</v>
      </c>
      <c r="E106" s="148"/>
      <c r="F106" s="148"/>
      <c r="G106" s="147" t="s">
        <v>389</v>
      </c>
      <c r="H106" s="148"/>
      <c r="I106" s="148"/>
      <c r="J106" s="147" t="s">
        <v>389</v>
      </c>
      <c r="K106" s="148"/>
      <c r="L106" s="148"/>
      <c r="M106" s="147" t="s">
        <v>389</v>
      </c>
      <c r="N106" s="148"/>
      <c r="O106" s="148"/>
      <c r="P106" s="147" t="s">
        <v>389</v>
      </c>
      <c r="Q106" s="148"/>
      <c r="R106" s="148"/>
    </row>
    <row r="107" customFormat="false" ht="15.75" hidden="false" customHeight="true" outlineLevel="0" collapsed="false">
      <c r="A107" s="147" t="s">
        <v>6</v>
      </c>
      <c r="B107" s="148"/>
      <c r="C107" s="148"/>
      <c r="D107" s="147" t="s">
        <v>390</v>
      </c>
      <c r="E107" s="148"/>
      <c r="F107" s="148"/>
      <c r="G107" s="147" t="s">
        <v>390</v>
      </c>
      <c r="H107" s="148"/>
      <c r="I107" s="148"/>
      <c r="J107" s="147" t="s">
        <v>390</v>
      </c>
      <c r="K107" s="148"/>
      <c r="L107" s="148"/>
      <c r="M107" s="147" t="s">
        <v>390</v>
      </c>
      <c r="N107" s="148"/>
      <c r="O107" s="148"/>
      <c r="P107" s="147" t="s">
        <v>390</v>
      </c>
      <c r="Q107" s="148"/>
      <c r="R107" s="148"/>
    </row>
    <row r="108" customFormat="false" ht="15.75" hidden="false" customHeight="true" outlineLevel="0" collapsed="false">
      <c r="A108" s="147" t="s">
        <v>3</v>
      </c>
      <c r="B108" s="148"/>
      <c r="C108" s="148"/>
      <c r="D108" s="147" t="s">
        <v>391</v>
      </c>
      <c r="E108" s="148"/>
      <c r="F108" s="148"/>
      <c r="G108" s="147" t="s">
        <v>391</v>
      </c>
      <c r="H108" s="148"/>
      <c r="I108" s="148"/>
      <c r="J108" s="147" t="s">
        <v>391</v>
      </c>
      <c r="K108" s="148"/>
      <c r="L108" s="148"/>
      <c r="M108" s="147" t="s">
        <v>391</v>
      </c>
      <c r="N108" s="148"/>
      <c r="O108" s="148"/>
      <c r="P108" s="147" t="s">
        <v>391</v>
      </c>
      <c r="Q108" s="148"/>
      <c r="R108" s="148"/>
    </row>
    <row r="109" customFormat="false" ht="15.75" hidden="false" customHeight="true" outlineLevel="0" collapsed="false">
      <c r="A109" s="147" t="s">
        <v>392</v>
      </c>
      <c r="B109" s="148"/>
      <c r="C109" s="148"/>
      <c r="D109" s="147" t="s">
        <v>393</v>
      </c>
      <c r="E109" s="148"/>
      <c r="F109" s="148"/>
      <c r="G109" s="147" t="s">
        <v>393</v>
      </c>
      <c r="H109" s="148"/>
      <c r="I109" s="148"/>
      <c r="J109" s="147" t="s">
        <v>393</v>
      </c>
      <c r="K109" s="148"/>
      <c r="L109" s="148"/>
      <c r="M109" s="147" t="s">
        <v>393</v>
      </c>
      <c r="N109" s="148"/>
      <c r="O109" s="148"/>
      <c r="P109" s="147" t="s">
        <v>393</v>
      </c>
      <c r="Q109" s="148"/>
      <c r="R109" s="148"/>
    </row>
    <row r="110" customFormat="false" ht="15.75" hidden="false" customHeight="true" outlineLevel="0" collapsed="false">
      <c r="A110" s="147" t="s">
        <v>394</v>
      </c>
      <c r="B110" s="148"/>
      <c r="C110" s="148"/>
      <c r="D110" s="147" t="s">
        <v>395</v>
      </c>
      <c r="E110" s="148"/>
      <c r="F110" s="148"/>
      <c r="G110" s="147" t="s">
        <v>395</v>
      </c>
      <c r="H110" s="148"/>
      <c r="I110" s="148"/>
      <c r="J110" s="147" t="s">
        <v>395</v>
      </c>
      <c r="K110" s="148"/>
      <c r="L110" s="148"/>
      <c r="M110" s="147" t="s">
        <v>395</v>
      </c>
      <c r="N110" s="148"/>
      <c r="O110" s="148"/>
      <c r="P110" s="147" t="s">
        <v>395</v>
      </c>
      <c r="Q110" s="148"/>
      <c r="R110" s="148"/>
    </row>
    <row r="111" customFormat="false" ht="15.75" hidden="false" customHeight="true" outlineLevel="0" collapsed="false">
      <c r="A111" s="147"/>
      <c r="B111" s="148"/>
      <c r="C111" s="148"/>
      <c r="D111" s="147" t="s">
        <v>396</v>
      </c>
      <c r="E111" s="148"/>
      <c r="F111" s="148"/>
      <c r="G111" s="147" t="s">
        <v>396</v>
      </c>
      <c r="H111" s="148"/>
      <c r="I111" s="148"/>
      <c r="J111" s="147" t="s">
        <v>396</v>
      </c>
      <c r="K111" s="148"/>
      <c r="L111" s="148"/>
      <c r="M111" s="147" t="s">
        <v>396</v>
      </c>
      <c r="N111" s="148"/>
      <c r="O111" s="148"/>
      <c r="P111" s="147" t="s">
        <v>396</v>
      </c>
      <c r="Q111" s="148"/>
      <c r="R111" s="148"/>
    </row>
    <row r="112" customFormat="false" ht="15.75" hidden="false" customHeight="true" outlineLevel="0" collapsed="false">
      <c r="A112" s="147"/>
      <c r="B112" s="148"/>
      <c r="C112" s="148"/>
      <c r="D112" s="147" t="s">
        <v>397</v>
      </c>
      <c r="E112" s="148"/>
      <c r="F112" s="148"/>
      <c r="G112" s="147" t="s">
        <v>397</v>
      </c>
      <c r="H112" s="148"/>
      <c r="I112" s="148"/>
      <c r="J112" s="147" t="s">
        <v>397</v>
      </c>
      <c r="K112" s="148"/>
      <c r="L112" s="148"/>
      <c r="M112" s="147" t="s">
        <v>397</v>
      </c>
      <c r="N112" s="148"/>
      <c r="O112" s="148"/>
      <c r="P112" s="147" t="s">
        <v>397</v>
      </c>
      <c r="Q112" s="148"/>
      <c r="R112" s="148"/>
    </row>
    <row r="113" customFormat="false" ht="15.75" hidden="false" customHeight="true" outlineLevel="0" collapsed="false">
      <c r="A113" s="149"/>
      <c r="B113" s="150"/>
      <c r="C113" s="150"/>
      <c r="D113" s="149"/>
      <c r="E113" s="150"/>
      <c r="F113" s="150"/>
      <c r="G113" s="149"/>
      <c r="H113" s="150"/>
      <c r="I113" s="150"/>
      <c r="J113" s="149"/>
      <c r="K113" s="150"/>
      <c r="L113" s="150"/>
      <c r="M113" s="149"/>
      <c r="N113" s="150"/>
      <c r="O113" s="150"/>
      <c r="P113" s="149"/>
      <c r="Q113" s="150"/>
      <c r="R113" s="150"/>
    </row>
    <row r="114" customFormat="false" ht="15.75" hidden="false" customHeight="true" outlineLevel="0" collapsed="false"/>
    <row r="115" customFormat="false" ht="15.75" hidden="false" customHeight="true" outlineLevel="0" collapsed="false">
      <c r="A115" s="145"/>
      <c r="B115" s="146"/>
      <c r="C115" s="146"/>
      <c r="D115" s="145" t="s">
        <v>373</v>
      </c>
      <c r="E115" s="146"/>
      <c r="F115" s="146"/>
      <c r="G115" s="145" t="s">
        <v>374</v>
      </c>
      <c r="H115" s="146"/>
      <c r="I115" s="146"/>
      <c r="J115" s="145" t="s">
        <v>375</v>
      </c>
      <c r="K115" s="146"/>
      <c r="L115" s="146"/>
      <c r="M115" s="145" t="s">
        <v>376</v>
      </c>
      <c r="N115" s="146"/>
      <c r="O115" s="146"/>
      <c r="P115" s="145" t="s">
        <v>377</v>
      </c>
      <c r="Q115" s="146"/>
      <c r="R115" s="146"/>
    </row>
    <row r="116" customFormat="false" ht="15.75" hidden="false" customHeight="true" outlineLevel="0" collapsed="false">
      <c r="A116" s="147" t="s">
        <v>364</v>
      </c>
      <c r="B116" s="148"/>
      <c r="C116" s="148"/>
      <c r="D116" s="147" t="s">
        <v>148</v>
      </c>
      <c r="E116" s="148"/>
      <c r="F116" s="148"/>
      <c r="G116" s="147" t="s">
        <v>148</v>
      </c>
      <c r="H116" s="148"/>
      <c r="I116" s="148"/>
      <c r="J116" s="147" t="s">
        <v>148</v>
      </c>
      <c r="K116" s="148"/>
      <c r="L116" s="148"/>
      <c r="M116" s="147" t="s">
        <v>148</v>
      </c>
      <c r="N116" s="148"/>
      <c r="O116" s="148"/>
      <c r="P116" s="147" t="s">
        <v>148</v>
      </c>
      <c r="Q116" s="148"/>
      <c r="R116" s="148"/>
    </row>
    <row r="117" customFormat="false" ht="15.75" hidden="false" customHeight="true" outlineLevel="0" collapsed="false">
      <c r="A117" s="147" t="s">
        <v>378</v>
      </c>
      <c r="B117" s="148"/>
      <c r="C117" s="148"/>
      <c r="D117" s="147" t="s">
        <v>379</v>
      </c>
      <c r="E117" s="148"/>
      <c r="F117" s="148"/>
      <c r="G117" s="147" t="s">
        <v>379</v>
      </c>
      <c r="H117" s="148"/>
      <c r="I117" s="148"/>
      <c r="J117" s="147" t="s">
        <v>379</v>
      </c>
      <c r="K117" s="148"/>
      <c r="L117" s="148"/>
      <c r="M117" s="147" t="s">
        <v>379</v>
      </c>
      <c r="N117" s="148"/>
      <c r="O117" s="148"/>
      <c r="P117" s="147" t="s">
        <v>379</v>
      </c>
      <c r="Q117" s="148"/>
      <c r="R117" s="148"/>
    </row>
    <row r="118" customFormat="false" ht="15.75" hidden="false" customHeight="true" outlineLevel="0" collapsed="false">
      <c r="A118" s="147" t="s">
        <v>4</v>
      </c>
      <c r="B118" s="148"/>
      <c r="C118" s="148"/>
      <c r="D118" s="147" t="s">
        <v>380</v>
      </c>
      <c r="E118" s="148"/>
      <c r="F118" s="148"/>
      <c r="G118" s="147" t="s">
        <v>380</v>
      </c>
      <c r="H118" s="148"/>
      <c r="I118" s="148"/>
      <c r="J118" s="147" t="s">
        <v>380</v>
      </c>
      <c r="K118" s="148"/>
      <c r="L118" s="148"/>
      <c r="M118" s="147" t="s">
        <v>380</v>
      </c>
      <c r="N118" s="148"/>
      <c r="O118" s="148"/>
      <c r="P118" s="147" t="s">
        <v>380</v>
      </c>
      <c r="Q118" s="148"/>
      <c r="R118" s="148"/>
    </row>
    <row r="119" customFormat="false" ht="15.75" hidden="false" customHeight="true" outlineLevel="0" collapsed="false">
      <c r="A119" s="147" t="s">
        <v>381</v>
      </c>
      <c r="B119" s="148"/>
      <c r="C119" s="148"/>
      <c r="D119" s="147" t="s">
        <v>382</v>
      </c>
      <c r="E119" s="148"/>
      <c r="F119" s="148"/>
      <c r="G119" s="147" t="s">
        <v>382</v>
      </c>
      <c r="H119" s="148"/>
      <c r="I119" s="148"/>
      <c r="J119" s="147" t="s">
        <v>382</v>
      </c>
      <c r="K119" s="148"/>
      <c r="L119" s="148"/>
      <c r="M119" s="147" t="s">
        <v>382</v>
      </c>
      <c r="N119" s="148"/>
      <c r="O119" s="148"/>
      <c r="P119" s="147" t="s">
        <v>382</v>
      </c>
      <c r="Q119" s="148"/>
      <c r="R119" s="148"/>
    </row>
    <row r="120" customFormat="false" ht="15.75" hidden="false" customHeight="true" outlineLevel="0" collapsed="false">
      <c r="A120" s="147" t="s">
        <v>383</v>
      </c>
      <c r="B120" s="148"/>
      <c r="C120" s="148"/>
      <c r="D120" s="147" t="s">
        <v>384</v>
      </c>
      <c r="E120" s="148"/>
      <c r="F120" s="148"/>
      <c r="G120" s="147" t="s">
        <v>384</v>
      </c>
      <c r="H120" s="148"/>
      <c r="I120" s="148"/>
      <c r="J120" s="147" t="s">
        <v>384</v>
      </c>
      <c r="K120" s="148"/>
      <c r="L120" s="148"/>
      <c r="M120" s="147" t="s">
        <v>384</v>
      </c>
      <c r="N120" s="148"/>
      <c r="O120" s="148"/>
      <c r="P120" s="147" t="s">
        <v>384</v>
      </c>
      <c r="Q120" s="148"/>
      <c r="R120" s="148"/>
    </row>
    <row r="121" customFormat="false" ht="15.75" hidden="false" customHeight="true" outlineLevel="0" collapsed="false">
      <c r="A121" s="147" t="s">
        <v>243</v>
      </c>
      <c r="B121" s="148"/>
      <c r="C121" s="148"/>
      <c r="D121" s="147" t="s">
        <v>347</v>
      </c>
      <c r="E121" s="148"/>
      <c r="F121" s="148"/>
      <c r="G121" s="147" t="s">
        <v>347</v>
      </c>
      <c r="H121" s="148"/>
      <c r="I121" s="148"/>
      <c r="J121" s="147" t="s">
        <v>347</v>
      </c>
      <c r="K121" s="148"/>
      <c r="L121" s="148"/>
      <c r="M121" s="147" t="s">
        <v>347</v>
      </c>
      <c r="N121" s="148"/>
      <c r="O121" s="148"/>
      <c r="P121" s="147" t="s">
        <v>347</v>
      </c>
      <c r="Q121" s="148"/>
      <c r="R121" s="148"/>
    </row>
    <row r="122" customFormat="false" ht="15.75" hidden="false" customHeight="true" outlineLevel="0" collapsed="false">
      <c r="A122" s="147" t="s">
        <v>19</v>
      </c>
      <c r="B122" s="148"/>
      <c r="C122" s="148"/>
      <c r="D122" s="147" t="s">
        <v>385</v>
      </c>
      <c r="E122" s="148"/>
      <c r="F122" s="148"/>
      <c r="G122" s="147" t="s">
        <v>385</v>
      </c>
      <c r="H122" s="148"/>
      <c r="I122" s="148"/>
      <c r="J122" s="147" t="s">
        <v>385</v>
      </c>
      <c r="K122" s="148"/>
      <c r="L122" s="148"/>
      <c r="M122" s="147" t="s">
        <v>385</v>
      </c>
      <c r="N122" s="148"/>
      <c r="O122" s="148"/>
      <c r="P122" s="147" t="s">
        <v>385</v>
      </c>
      <c r="Q122" s="148"/>
      <c r="R122" s="148"/>
    </row>
    <row r="123" customFormat="false" ht="15.75" hidden="false" customHeight="true" outlineLevel="0" collapsed="false">
      <c r="A123" s="147" t="s">
        <v>386</v>
      </c>
      <c r="B123" s="148"/>
      <c r="C123" s="148"/>
      <c r="D123" s="147" t="s">
        <v>387</v>
      </c>
      <c r="E123" s="148"/>
      <c r="F123" s="148"/>
      <c r="G123" s="147" t="s">
        <v>387</v>
      </c>
      <c r="H123" s="148"/>
      <c r="I123" s="148"/>
      <c r="J123" s="147" t="s">
        <v>387</v>
      </c>
      <c r="K123" s="148"/>
      <c r="L123" s="148"/>
      <c r="M123" s="147" t="s">
        <v>387</v>
      </c>
      <c r="N123" s="148"/>
      <c r="O123" s="148"/>
      <c r="P123" s="147" t="s">
        <v>387</v>
      </c>
      <c r="Q123" s="148"/>
      <c r="R123" s="148"/>
    </row>
    <row r="124" customFormat="false" ht="15.75" hidden="false" customHeight="true" outlineLevel="0" collapsed="false">
      <c r="A124" s="147" t="s">
        <v>117</v>
      </c>
      <c r="B124" s="148"/>
      <c r="C124" s="148"/>
      <c r="D124" s="147" t="s">
        <v>388</v>
      </c>
      <c r="E124" s="148"/>
      <c r="F124" s="148"/>
      <c r="G124" s="147" t="s">
        <v>388</v>
      </c>
      <c r="H124" s="148"/>
      <c r="I124" s="148"/>
      <c r="J124" s="147" t="s">
        <v>388</v>
      </c>
      <c r="K124" s="148"/>
      <c r="L124" s="148"/>
      <c r="M124" s="147" t="s">
        <v>388</v>
      </c>
      <c r="N124" s="148"/>
      <c r="O124" s="148"/>
      <c r="P124" s="147" t="s">
        <v>388</v>
      </c>
      <c r="Q124" s="148"/>
      <c r="R124" s="148"/>
    </row>
    <row r="125" customFormat="false" ht="15.75" hidden="false" customHeight="true" outlineLevel="0" collapsed="false">
      <c r="A125" s="147" t="s">
        <v>1</v>
      </c>
      <c r="B125" s="148"/>
      <c r="C125" s="148"/>
      <c r="D125" s="147" t="s">
        <v>389</v>
      </c>
      <c r="E125" s="148"/>
      <c r="F125" s="148"/>
      <c r="G125" s="147" t="s">
        <v>389</v>
      </c>
      <c r="H125" s="148"/>
      <c r="I125" s="148"/>
      <c r="J125" s="147" t="s">
        <v>389</v>
      </c>
      <c r="K125" s="148"/>
      <c r="L125" s="148"/>
      <c r="M125" s="147" t="s">
        <v>389</v>
      </c>
      <c r="N125" s="148"/>
      <c r="O125" s="148"/>
      <c r="P125" s="147" t="s">
        <v>389</v>
      </c>
      <c r="Q125" s="148"/>
      <c r="R125" s="148"/>
    </row>
    <row r="126" customFormat="false" ht="15.75" hidden="false" customHeight="true" outlineLevel="0" collapsed="false">
      <c r="A126" s="147" t="s">
        <v>6</v>
      </c>
      <c r="B126" s="148"/>
      <c r="C126" s="148"/>
      <c r="D126" s="147" t="s">
        <v>390</v>
      </c>
      <c r="E126" s="148"/>
      <c r="F126" s="148"/>
      <c r="G126" s="147" t="s">
        <v>390</v>
      </c>
      <c r="H126" s="148"/>
      <c r="I126" s="148"/>
      <c r="J126" s="147" t="s">
        <v>390</v>
      </c>
      <c r="K126" s="148"/>
      <c r="L126" s="148"/>
      <c r="M126" s="147" t="s">
        <v>390</v>
      </c>
      <c r="N126" s="148"/>
      <c r="O126" s="148"/>
      <c r="P126" s="147" t="s">
        <v>390</v>
      </c>
      <c r="Q126" s="148"/>
      <c r="R126" s="148"/>
    </row>
    <row r="127" customFormat="false" ht="15.75" hidden="false" customHeight="true" outlineLevel="0" collapsed="false">
      <c r="A127" s="147" t="s">
        <v>3</v>
      </c>
      <c r="B127" s="148"/>
      <c r="C127" s="148"/>
      <c r="D127" s="147" t="s">
        <v>391</v>
      </c>
      <c r="E127" s="148"/>
      <c r="F127" s="148"/>
      <c r="G127" s="147" t="s">
        <v>391</v>
      </c>
      <c r="H127" s="148"/>
      <c r="I127" s="148"/>
      <c r="J127" s="147" t="s">
        <v>391</v>
      </c>
      <c r="K127" s="148"/>
      <c r="L127" s="148"/>
      <c r="M127" s="147" t="s">
        <v>391</v>
      </c>
      <c r="N127" s="148"/>
      <c r="O127" s="148"/>
      <c r="P127" s="147" t="s">
        <v>391</v>
      </c>
      <c r="Q127" s="148"/>
      <c r="R127" s="148"/>
    </row>
    <row r="128" customFormat="false" ht="15.75" hidden="false" customHeight="true" outlineLevel="0" collapsed="false">
      <c r="A128" s="147" t="s">
        <v>392</v>
      </c>
      <c r="B128" s="148"/>
      <c r="C128" s="148"/>
      <c r="D128" s="147" t="s">
        <v>393</v>
      </c>
      <c r="E128" s="148"/>
      <c r="F128" s="148"/>
      <c r="G128" s="147" t="s">
        <v>393</v>
      </c>
      <c r="H128" s="148"/>
      <c r="I128" s="148"/>
      <c r="J128" s="147" t="s">
        <v>393</v>
      </c>
      <c r="K128" s="148"/>
      <c r="L128" s="148"/>
      <c r="M128" s="147" t="s">
        <v>393</v>
      </c>
      <c r="N128" s="148"/>
      <c r="O128" s="148"/>
      <c r="P128" s="147" t="s">
        <v>393</v>
      </c>
      <c r="Q128" s="148"/>
      <c r="R128" s="148"/>
    </row>
    <row r="129" customFormat="false" ht="15.75" hidden="false" customHeight="true" outlineLevel="0" collapsed="false">
      <c r="A129" s="147" t="s">
        <v>394</v>
      </c>
      <c r="B129" s="148"/>
      <c r="C129" s="148"/>
      <c r="D129" s="147" t="s">
        <v>395</v>
      </c>
      <c r="E129" s="148"/>
      <c r="F129" s="148"/>
      <c r="G129" s="147" t="s">
        <v>395</v>
      </c>
      <c r="H129" s="148"/>
      <c r="I129" s="148"/>
      <c r="J129" s="147" t="s">
        <v>395</v>
      </c>
      <c r="K129" s="148"/>
      <c r="L129" s="148"/>
      <c r="M129" s="147" t="s">
        <v>395</v>
      </c>
      <c r="N129" s="148"/>
      <c r="O129" s="148"/>
      <c r="P129" s="147" t="s">
        <v>395</v>
      </c>
      <c r="Q129" s="148"/>
      <c r="R129" s="148"/>
    </row>
    <row r="130" customFormat="false" ht="15.75" hidden="false" customHeight="true" outlineLevel="0" collapsed="false">
      <c r="A130" s="147"/>
      <c r="B130" s="148"/>
      <c r="C130" s="148"/>
      <c r="D130" s="147" t="s">
        <v>396</v>
      </c>
      <c r="E130" s="148"/>
      <c r="F130" s="148"/>
      <c r="G130" s="147" t="s">
        <v>396</v>
      </c>
      <c r="H130" s="148"/>
      <c r="I130" s="148"/>
      <c r="J130" s="147" t="s">
        <v>396</v>
      </c>
      <c r="K130" s="148"/>
      <c r="L130" s="148"/>
      <c r="M130" s="147" t="s">
        <v>396</v>
      </c>
      <c r="N130" s="148"/>
      <c r="O130" s="148"/>
      <c r="P130" s="147" t="s">
        <v>396</v>
      </c>
      <c r="Q130" s="148"/>
      <c r="R130" s="148"/>
    </row>
    <row r="131" customFormat="false" ht="15.75" hidden="false" customHeight="true" outlineLevel="0" collapsed="false">
      <c r="A131" s="147"/>
      <c r="B131" s="148"/>
      <c r="C131" s="148"/>
      <c r="D131" s="147" t="s">
        <v>397</v>
      </c>
      <c r="E131" s="148"/>
      <c r="F131" s="148"/>
      <c r="G131" s="147" t="s">
        <v>397</v>
      </c>
      <c r="H131" s="148"/>
      <c r="I131" s="148"/>
      <c r="J131" s="147" t="s">
        <v>397</v>
      </c>
      <c r="K131" s="148"/>
      <c r="L131" s="148"/>
      <c r="M131" s="147" t="s">
        <v>397</v>
      </c>
      <c r="N131" s="148"/>
      <c r="O131" s="148"/>
      <c r="P131" s="147" t="s">
        <v>397</v>
      </c>
      <c r="Q131" s="148"/>
      <c r="R131" s="148"/>
    </row>
    <row r="132" customFormat="false" ht="15.75" hidden="false" customHeight="true" outlineLevel="0" collapsed="false">
      <c r="A132" s="149"/>
      <c r="B132" s="150"/>
      <c r="C132" s="150"/>
      <c r="D132" s="149"/>
      <c r="E132" s="150"/>
      <c r="F132" s="150"/>
      <c r="G132" s="149"/>
      <c r="H132" s="150"/>
      <c r="I132" s="150"/>
      <c r="J132" s="149"/>
      <c r="K132" s="150"/>
      <c r="L132" s="150"/>
      <c r="M132" s="149"/>
      <c r="N132" s="150"/>
      <c r="O132" s="150"/>
      <c r="P132" s="149"/>
      <c r="Q132" s="150"/>
      <c r="R132" s="150"/>
    </row>
    <row r="133" customFormat="false" ht="15.75" hidden="false" customHeight="true" outlineLevel="0" collapsed="false"/>
    <row r="134" customFormat="false" ht="15.75" hidden="false" customHeight="true" outlineLevel="0" collapsed="false">
      <c r="A134" s="145"/>
      <c r="B134" s="146"/>
      <c r="C134" s="146"/>
      <c r="D134" s="145" t="s">
        <v>373</v>
      </c>
      <c r="E134" s="146"/>
      <c r="F134" s="146"/>
      <c r="G134" s="145" t="s">
        <v>374</v>
      </c>
      <c r="H134" s="146"/>
      <c r="I134" s="146"/>
      <c r="J134" s="145" t="s">
        <v>375</v>
      </c>
      <c r="K134" s="146"/>
      <c r="L134" s="146"/>
      <c r="M134" s="145" t="s">
        <v>376</v>
      </c>
      <c r="N134" s="146"/>
      <c r="O134" s="146"/>
      <c r="P134" s="145" t="s">
        <v>377</v>
      </c>
      <c r="Q134" s="146"/>
      <c r="R134" s="146"/>
    </row>
    <row r="135" customFormat="false" ht="15.75" hidden="false" customHeight="true" outlineLevel="0" collapsed="false">
      <c r="A135" s="147" t="s">
        <v>364</v>
      </c>
      <c r="B135" s="148"/>
      <c r="C135" s="148"/>
      <c r="D135" s="147" t="s">
        <v>148</v>
      </c>
      <c r="E135" s="148"/>
      <c r="F135" s="148"/>
      <c r="G135" s="147" t="s">
        <v>148</v>
      </c>
      <c r="H135" s="148"/>
      <c r="I135" s="148"/>
      <c r="J135" s="147" t="s">
        <v>148</v>
      </c>
      <c r="K135" s="148"/>
      <c r="L135" s="148"/>
      <c r="M135" s="147" t="s">
        <v>148</v>
      </c>
      <c r="N135" s="148"/>
      <c r="O135" s="148"/>
      <c r="P135" s="147" t="s">
        <v>148</v>
      </c>
      <c r="Q135" s="148"/>
      <c r="R135" s="148"/>
    </row>
    <row r="136" customFormat="false" ht="15.75" hidden="false" customHeight="true" outlineLevel="0" collapsed="false">
      <c r="A136" s="147" t="s">
        <v>378</v>
      </c>
      <c r="B136" s="148"/>
      <c r="C136" s="148"/>
      <c r="D136" s="147" t="s">
        <v>379</v>
      </c>
      <c r="E136" s="148"/>
      <c r="F136" s="148"/>
      <c r="G136" s="147" t="s">
        <v>379</v>
      </c>
      <c r="H136" s="148"/>
      <c r="I136" s="148"/>
      <c r="J136" s="147" t="s">
        <v>379</v>
      </c>
      <c r="K136" s="148"/>
      <c r="L136" s="148"/>
      <c r="M136" s="147" t="s">
        <v>379</v>
      </c>
      <c r="N136" s="148"/>
      <c r="O136" s="148"/>
      <c r="P136" s="147" t="s">
        <v>379</v>
      </c>
      <c r="Q136" s="148"/>
      <c r="R136" s="148"/>
    </row>
    <row r="137" customFormat="false" ht="15.75" hidden="false" customHeight="true" outlineLevel="0" collapsed="false">
      <c r="A137" s="147" t="s">
        <v>4</v>
      </c>
      <c r="B137" s="148"/>
      <c r="C137" s="148"/>
      <c r="D137" s="147" t="s">
        <v>380</v>
      </c>
      <c r="E137" s="148"/>
      <c r="F137" s="148"/>
      <c r="G137" s="147" t="s">
        <v>380</v>
      </c>
      <c r="H137" s="148"/>
      <c r="I137" s="148"/>
      <c r="J137" s="147" t="s">
        <v>380</v>
      </c>
      <c r="K137" s="148"/>
      <c r="L137" s="148"/>
      <c r="M137" s="147" t="s">
        <v>380</v>
      </c>
      <c r="N137" s="148"/>
      <c r="O137" s="148"/>
      <c r="P137" s="147" t="s">
        <v>380</v>
      </c>
      <c r="Q137" s="148"/>
      <c r="R137" s="148"/>
    </row>
    <row r="138" customFormat="false" ht="15.75" hidden="false" customHeight="true" outlineLevel="0" collapsed="false">
      <c r="A138" s="147" t="s">
        <v>381</v>
      </c>
      <c r="B138" s="148"/>
      <c r="C138" s="148"/>
      <c r="D138" s="147" t="s">
        <v>382</v>
      </c>
      <c r="E138" s="148"/>
      <c r="F138" s="148"/>
      <c r="G138" s="147" t="s">
        <v>382</v>
      </c>
      <c r="H138" s="148"/>
      <c r="I138" s="148"/>
      <c r="J138" s="147" t="s">
        <v>382</v>
      </c>
      <c r="K138" s="148"/>
      <c r="L138" s="148"/>
      <c r="M138" s="147" t="s">
        <v>382</v>
      </c>
      <c r="N138" s="148"/>
      <c r="O138" s="148"/>
      <c r="P138" s="147" t="s">
        <v>382</v>
      </c>
      <c r="Q138" s="148"/>
      <c r="R138" s="148"/>
    </row>
    <row r="139" customFormat="false" ht="15.75" hidden="false" customHeight="true" outlineLevel="0" collapsed="false">
      <c r="A139" s="147" t="s">
        <v>383</v>
      </c>
      <c r="B139" s="148"/>
      <c r="C139" s="148"/>
      <c r="D139" s="147" t="s">
        <v>384</v>
      </c>
      <c r="E139" s="148"/>
      <c r="F139" s="148"/>
      <c r="G139" s="147" t="s">
        <v>384</v>
      </c>
      <c r="H139" s="148"/>
      <c r="I139" s="148"/>
      <c r="J139" s="147" t="s">
        <v>384</v>
      </c>
      <c r="K139" s="148"/>
      <c r="L139" s="148"/>
      <c r="M139" s="147" t="s">
        <v>384</v>
      </c>
      <c r="N139" s="148"/>
      <c r="O139" s="148"/>
      <c r="P139" s="147" t="s">
        <v>384</v>
      </c>
      <c r="Q139" s="148"/>
      <c r="R139" s="148"/>
    </row>
    <row r="140" customFormat="false" ht="15.75" hidden="false" customHeight="true" outlineLevel="0" collapsed="false">
      <c r="A140" s="147" t="s">
        <v>243</v>
      </c>
      <c r="B140" s="148"/>
      <c r="C140" s="148"/>
      <c r="D140" s="147" t="s">
        <v>347</v>
      </c>
      <c r="E140" s="148"/>
      <c r="F140" s="148"/>
      <c r="G140" s="147" t="s">
        <v>347</v>
      </c>
      <c r="H140" s="148"/>
      <c r="I140" s="148"/>
      <c r="J140" s="147" t="s">
        <v>347</v>
      </c>
      <c r="K140" s="148"/>
      <c r="L140" s="148"/>
      <c r="M140" s="147" t="s">
        <v>347</v>
      </c>
      <c r="N140" s="148"/>
      <c r="O140" s="148"/>
      <c r="P140" s="147" t="s">
        <v>347</v>
      </c>
      <c r="Q140" s="148"/>
      <c r="R140" s="148"/>
    </row>
    <row r="141" customFormat="false" ht="15.75" hidden="false" customHeight="true" outlineLevel="0" collapsed="false">
      <c r="A141" s="147" t="s">
        <v>19</v>
      </c>
      <c r="B141" s="148"/>
      <c r="C141" s="148"/>
      <c r="D141" s="147" t="s">
        <v>385</v>
      </c>
      <c r="E141" s="148"/>
      <c r="F141" s="148"/>
      <c r="G141" s="147" t="s">
        <v>385</v>
      </c>
      <c r="H141" s="148"/>
      <c r="I141" s="148"/>
      <c r="J141" s="147" t="s">
        <v>385</v>
      </c>
      <c r="K141" s="148"/>
      <c r="L141" s="148"/>
      <c r="M141" s="147" t="s">
        <v>385</v>
      </c>
      <c r="N141" s="148"/>
      <c r="O141" s="148"/>
      <c r="P141" s="147" t="s">
        <v>385</v>
      </c>
      <c r="Q141" s="148"/>
      <c r="R141" s="148"/>
    </row>
    <row r="142" customFormat="false" ht="15.75" hidden="false" customHeight="true" outlineLevel="0" collapsed="false">
      <c r="A142" s="147" t="s">
        <v>386</v>
      </c>
      <c r="B142" s="148"/>
      <c r="C142" s="148"/>
      <c r="D142" s="147" t="s">
        <v>387</v>
      </c>
      <c r="E142" s="148"/>
      <c r="F142" s="148"/>
      <c r="G142" s="147" t="s">
        <v>387</v>
      </c>
      <c r="H142" s="148"/>
      <c r="I142" s="148"/>
      <c r="J142" s="147" t="s">
        <v>387</v>
      </c>
      <c r="K142" s="148"/>
      <c r="L142" s="148"/>
      <c r="M142" s="147" t="s">
        <v>387</v>
      </c>
      <c r="N142" s="148"/>
      <c r="O142" s="148"/>
      <c r="P142" s="147" t="s">
        <v>387</v>
      </c>
      <c r="Q142" s="148"/>
      <c r="R142" s="148"/>
    </row>
    <row r="143" customFormat="false" ht="15.75" hidden="false" customHeight="true" outlineLevel="0" collapsed="false">
      <c r="A143" s="147" t="s">
        <v>117</v>
      </c>
      <c r="B143" s="148"/>
      <c r="C143" s="148"/>
      <c r="D143" s="147" t="s">
        <v>388</v>
      </c>
      <c r="E143" s="148"/>
      <c r="F143" s="148"/>
      <c r="G143" s="147" t="s">
        <v>388</v>
      </c>
      <c r="H143" s="148"/>
      <c r="I143" s="148"/>
      <c r="J143" s="147" t="s">
        <v>388</v>
      </c>
      <c r="K143" s="148"/>
      <c r="L143" s="148"/>
      <c r="M143" s="147" t="s">
        <v>388</v>
      </c>
      <c r="N143" s="148"/>
      <c r="O143" s="148"/>
      <c r="P143" s="147" t="s">
        <v>388</v>
      </c>
      <c r="Q143" s="148"/>
      <c r="R143" s="148"/>
    </row>
    <row r="144" customFormat="false" ht="15.75" hidden="false" customHeight="true" outlineLevel="0" collapsed="false">
      <c r="A144" s="147" t="s">
        <v>1</v>
      </c>
      <c r="B144" s="148"/>
      <c r="C144" s="148"/>
      <c r="D144" s="147" t="s">
        <v>389</v>
      </c>
      <c r="E144" s="148"/>
      <c r="F144" s="148"/>
      <c r="G144" s="147" t="s">
        <v>389</v>
      </c>
      <c r="H144" s="148"/>
      <c r="I144" s="148"/>
      <c r="J144" s="147" t="s">
        <v>389</v>
      </c>
      <c r="K144" s="148"/>
      <c r="L144" s="148"/>
      <c r="M144" s="147" t="s">
        <v>389</v>
      </c>
      <c r="N144" s="148"/>
      <c r="O144" s="148"/>
      <c r="P144" s="147" t="s">
        <v>389</v>
      </c>
      <c r="Q144" s="148"/>
      <c r="R144" s="148"/>
    </row>
    <row r="145" customFormat="false" ht="15.75" hidden="false" customHeight="true" outlineLevel="0" collapsed="false">
      <c r="A145" s="147" t="s">
        <v>6</v>
      </c>
      <c r="B145" s="148"/>
      <c r="C145" s="148"/>
      <c r="D145" s="147" t="s">
        <v>390</v>
      </c>
      <c r="E145" s="148"/>
      <c r="F145" s="148"/>
      <c r="G145" s="147" t="s">
        <v>390</v>
      </c>
      <c r="H145" s="148"/>
      <c r="I145" s="148"/>
      <c r="J145" s="147" t="s">
        <v>390</v>
      </c>
      <c r="K145" s="148"/>
      <c r="L145" s="148"/>
      <c r="M145" s="147" t="s">
        <v>390</v>
      </c>
      <c r="N145" s="148"/>
      <c r="O145" s="148"/>
      <c r="P145" s="147" t="s">
        <v>390</v>
      </c>
      <c r="Q145" s="148"/>
      <c r="R145" s="148"/>
    </row>
    <row r="146" customFormat="false" ht="15.75" hidden="false" customHeight="true" outlineLevel="0" collapsed="false">
      <c r="A146" s="147" t="s">
        <v>3</v>
      </c>
      <c r="B146" s="148"/>
      <c r="C146" s="148"/>
      <c r="D146" s="147" t="s">
        <v>391</v>
      </c>
      <c r="E146" s="148"/>
      <c r="F146" s="148"/>
      <c r="G146" s="147" t="s">
        <v>391</v>
      </c>
      <c r="H146" s="148"/>
      <c r="I146" s="148"/>
      <c r="J146" s="147" t="s">
        <v>391</v>
      </c>
      <c r="K146" s="148"/>
      <c r="L146" s="148"/>
      <c r="M146" s="147" t="s">
        <v>391</v>
      </c>
      <c r="N146" s="148"/>
      <c r="O146" s="148"/>
      <c r="P146" s="147" t="s">
        <v>391</v>
      </c>
      <c r="Q146" s="148"/>
      <c r="R146" s="148"/>
    </row>
    <row r="147" customFormat="false" ht="15.75" hidden="false" customHeight="true" outlineLevel="0" collapsed="false">
      <c r="A147" s="147" t="s">
        <v>392</v>
      </c>
      <c r="B147" s="148"/>
      <c r="C147" s="148"/>
      <c r="D147" s="147" t="s">
        <v>393</v>
      </c>
      <c r="E147" s="148"/>
      <c r="F147" s="148"/>
      <c r="G147" s="147" t="s">
        <v>393</v>
      </c>
      <c r="H147" s="148"/>
      <c r="I147" s="148"/>
      <c r="J147" s="147" t="s">
        <v>393</v>
      </c>
      <c r="K147" s="148"/>
      <c r="L147" s="148"/>
      <c r="M147" s="147" t="s">
        <v>393</v>
      </c>
      <c r="N147" s="148"/>
      <c r="O147" s="148"/>
      <c r="P147" s="147" t="s">
        <v>393</v>
      </c>
      <c r="Q147" s="148"/>
      <c r="R147" s="148"/>
    </row>
    <row r="148" customFormat="false" ht="15.75" hidden="false" customHeight="true" outlineLevel="0" collapsed="false">
      <c r="A148" s="147" t="s">
        <v>394</v>
      </c>
      <c r="B148" s="148"/>
      <c r="C148" s="148"/>
      <c r="D148" s="147" t="s">
        <v>395</v>
      </c>
      <c r="E148" s="148"/>
      <c r="F148" s="148"/>
      <c r="G148" s="147" t="s">
        <v>395</v>
      </c>
      <c r="H148" s="148"/>
      <c r="I148" s="148"/>
      <c r="J148" s="147" t="s">
        <v>395</v>
      </c>
      <c r="K148" s="148"/>
      <c r="L148" s="148"/>
      <c r="M148" s="147" t="s">
        <v>395</v>
      </c>
      <c r="N148" s="148"/>
      <c r="O148" s="148"/>
      <c r="P148" s="147" t="s">
        <v>395</v>
      </c>
      <c r="Q148" s="148"/>
      <c r="R148" s="148"/>
    </row>
    <row r="149" customFormat="false" ht="15.75" hidden="false" customHeight="true" outlineLevel="0" collapsed="false">
      <c r="A149" s="147"/>
      <c r="B149" s="148"/>
      <c r="C149" s="148"/>
      <c r="D149" s="147" t="s">
        <v>396</v>
      </c>
      <c r="E149" s="148"/>
      <c r="F149" s="148"/>
      <c r="G149" s="147" t="s">
        <v>396</v>
      </c>
      <c r="H149" s="148"/>
      <c r="I149" s="148"/>
      <c r="J149" s="147" t="s">
        <v>396</v>
      </c>
      <c r="K149" s="148"/>
      <c r="L149" s="148"/>
      <c r="M149" s="147" t="s">
        <v>396</v>
      </c>
      <c r="N149" s="148"/>
      <c r="O149" s="148"/>
      <c r="P149" s="147" t="s">
        <v>396</v>
      </c>
      <c r="Q149" s="148"/>
      <c r="R149" s="148"/>
    </row>
    <row r="150" customFormat="false" ht="15.75" hidden="false" customHeight="true" outlineLevel="0" collapsed="false">
      <c r="A150" s="147"/>
      <c r="B150" s="148"/>
      <c r="C150" s="148"/>
      <c r="D150" s="147" t="s">
        <v>397</v>
      </c>
      <c r="E150" s="148"/>
      <c r="F150" s="148"/>
      <c r="G150" s="147" t="s">
        <v>397</v>
      </c>
      <c r="H150" s="148"/>
      <c r="I150" s="148"/>
      <c r="J150" s="147" t="s">
        <v>397</v>
      </c>
      <c r="K150" s="148"/>
      <c r="L150" s="148"/>
      <c r="M150" s="147" t="s">
        <v>397</v>
      </c>
      <c r="N150" s="148"/>
      <c r="O150" s="148"/>
      <c r="P150" s="147" t="s">
        <v>397</v>
      </c>
      <c r="Q150" s="148"/>
      <c r="R150" s="148"/>
    </row>
    <row r="151" customFormat="false" ht="15.75" hidden="false" customHeight="true" outlineLevel="0" collapsed="false">
      <c r="A151" s="149"/>
      <c r="B151" s="150"/>
      <c r="C151" s="150"/>
      <c r="D151" s="149"/>
      <c r="E151" s="150"/>
      <c r="F151" s="150"/>
      <c r="G151" s="149"/>
      <c r="H151" s="150"/>
      <c r="I151" s="150"/>
      <c r="J151" s="149"/>
      <c r="K151" s="150"/>
      <c r="L151" s="150"/>
      <c r="M151" s="149"/>
      <c r="N151" s="150"/>
      <c r="O151" s="150"/>
      <c r="P151" s="149"/>
      <c r="Q151" s="150"/>
      <c r="R151" s="150"/>
    </row>
    <row r="152" customFormat="false" ht="15.75" hidden="false" customHeight="true" outlineLevel="0" collapsed="false"/>
    <row r="153" customFormat="false" ht="15.75" hidden="false" customHeight="true" outlineLevel="0" collapsed="false">
      <c r="A153" s="145"/>
      <c r="B153" s="146"/>
      <c r="C153" s="146"/>
      <c r="D153" s="145" t="s">
        <v>373</v>
      </c>
      <c r="E153" s="146"/>
      <c r="F153" s="146"/>
      <c r="G153" s="145" t="s">
        <v>374</v>
      </c>
      <c r="H153" s="146"/>
      <c r="I153" s="146"/>
      <c r="J153" s="145" t="s">
        <v>375</v>
      </c>
      <c r="K153" s="146"/>
      <c r="L153" s="146"/>
      <c r="M153" s="145" t="s">
        <v>376</v>
      </c>
      <c r="N153" s="146"/>
      <c r="O153" s="146"/>
      <c r="P153" s="145" t="s">
        <v>377</v>
      </c>
      <c r="Q153" s="146"/>
      <c r="R153" s="146"/>
    </row>
    <row r="154" customFormat="false" ht="15.75" hidden="false" customHeight="true" outlineLevel="0" collapsed="false">
      <c r="A154" s="147" t="s">
        <v>364</v>
      </c>
      <c r="B154" s="148"/>
      <c r="C154" s="148"/>
      <c r="D154" s="147" t="s">
        <v>148</v>
      </c>
      <c r="E154" s="148"/>
      <c r="F154" s="148"/>
      <c r="G154" s="147" t="s">
        <v>148</v>
      </c>
      <c r="H154" s="148"/>
      <c r="I154" s="148"/>
      <c r="J154" s="147" t="s">
        <v>148</v>
      </c>
      <c r="K154" s="148"/>
      <c r="L154" s="148"/>
      <c r="M154" s="147" t="s">
        <v>148</v>
      </c>
      <c r="N154" s="148"/>
      <c r="O154" s="148"/>
      <c r="P154" s="147" t="s">
        <v>148</v>
      </c>
      <c r="Q154" s="148"/>
      <c r="R154" s="148"/>
    </row>
    <row r="155" customFormat="false" ht="15.75" hidden="false" customHeight="true" outlineLevel="0" collapsed="false">
      <c r="A155" s="147" t="s">
        <v>378</v>
      </c>
      <c r="B155" s="148"/>
      <c r="C155" s="148"/>
      <c r="D155" s="147" t="s">
        <v>379</v>
      </c>
      <c r="E155" s="148"/>
      <c r="F155" s="148"/>
      <c r="G155" s="147" t="s">
        <v>379</v>
      </c>
      <c r="H155" s="148"/>
      <c r="I155" s="148"/>
      <c r="J155" s="147" t="s">
        <v>379</v>
      </c>
      <c r="K155" s="148"/>
      <c r="L155" s="148"/>
      <c r="M155" s="147" t="s">
        <v>379</v>
      </c>
      <c r="N155" s="148"/>
      <c r="O155" s="148"/>
      <c r="P155" s="147" t="s">
        <v>379</v>
      </c>
      <c r="Q155" s="148"/>
      <c r="R155" s="148"/>
    </row>
    <row r="156" customFormat="false" ht="15.75" hidden="false" customHeight="true" outlineLevel="0" collapsed="false">
      <c r="A156" s="147" t="s">
        <v>4</v>
      </c>
      <c r="B156" s="148"/>
      <c r="C156" s="148"/>
      <c r="D156" s="147" t="s">
        <v>380</v>
      </c>
      <c r="E156" s="148"/>
      <c r="F156" s="148"/>
      <c r="G156" s="147" t="s">
        <v>380</v>
      </c>
      <c r="H156" s="148"/>
      <c r="I156" s="148"/>
      <c r="J156" s="147" t="s">
        <v>380</v>
      </c>
      <c r="K156" s="148"/>
      <c r="L156" s="148"/>
      <c r="M156" s="147" t="s">
        <v>380</v>
      </c>
      <c r="N156" s="148"/>
      <c r="O156" s="148"/>
      <c r="P156" s="147" t="s">
        <v>380</v>
      </c>
      <c r="Q156" s="148"/>
      <c r="R156" s="148"/>
    </row>
    <row r="157" customFormat="false" ht="15.75" hidden="false" customHeight="true" outlineLevel="0" collapsed="false">
      <c r="A157" s="147" t="s">
        <v>381</v>
      </c>
      <c r="B157" s="148"/>
      <c r="C157" s="148"/>
      <c r="D157" s="147" t="s">
        <v>382</v>
      </c>
      <c r="E157" s="148"/>
      <c r="F157" s="148"/>
      <c r="G157" s="147" t="s">
        <v>382</v>
      </c>
      <c r="H157" s="148"/>
      <c r="I157" s="148"/>
      <c r="J157" s="147" t="s">
        <v>382</v>
      </c>
      <c r="K157" s="148"/>
      <c r="L157" s="148"/>
      <c r="M157" s="147" t="s">
        <v>382</v>
      </c>
      <c r="N157" s="148"/>
      <c r="O157" s="148"/>
      <c r="P157" s="147" t="s">
        <v>382</v>
      </c>
      <c r="Q157" s="148"/>
      <c r="R157" s="148"/>
    </row>
    <row r="158" customFormat="false" ht="15.75" hidden="false" customHeight="true" outlineLevel="0" collapsed="false">
      <c r="A158" s="147" t="s">
        <v>383</v>
      </c>
      <c r="B158" s="148"/>
      <c r="C158" s="148"/>
      <c r="D158" s="147" t="s">
        <v>384</v>
      </c>
      <c r="E158" s="148"/>
      <c r="F158" s="148"/>
      <c r="G158" s="147" t="s">
        <v>384</v>
      </c>
      <c r="H158" s="148"/>
      <c r="I158" s="148"/>
      <c r="J158" s="147" t="s">
        <v>384</v>
      </c>
      <c r="K158" s="148"/>
      <c r="L158" s="148"/>
      <c r="M158" s="147" t="s">
        <v>384</v>
      </c>
      <c r="N158" s="148"/>
      <c r="O158" s="148"/>
      <c r="P158" s="147" t="s">
        <v>384</v>
      </c>
      <c r="Q158" s="148"/>
      <c r="R158" s="148"/>
    </row>
    <row r="159" customFormat="false" ht="15.75" hidden="false" customHeight="true" outlineLevel="0" collapsed="false">
      <c r="A159" s="147" t="s">
        <v>243</v>
      </c>
      <c r="B159" s="148"/>
      <c r="C159" s="148"/>
      <c r="D159" s="147" t="s">
        <v>347</v>
      </c>
      <c r="E159" s="148"/>
      <c r="F159" s="148"/>
      <c r="G159" s="147" t="s">
        <v>347</v>
      </c>
      <c r="H159" s="148"/>
      <c r="I159" s="148"/>
      <c r="J159" s="147" t="s">
        <v>347</v>
      </c>
      <c r="K159" s="148"/>
      <c r="L159" s="148"/>
      <c r="M159" s="147" t="s">
        <v>347</v>
      </c>
      <c r="N159" s="148"/>
      <c r="O159" s="148"/>
      <c r="P159" s="147" t="s">
        <v>347</v>
      </c>
      <c r="Q159" s="148"/>
      <c r="R159" s="148"/>
    </row>
    <row r="160" customFormat="false" ht="15.75" hidden="false" customHeight="true" outlineLevel="0" collapsed="false">
      <c r="A160" s="147" t="s">
        <v>19</v>
      </c>
      <c r="B160" s="148"/>
      <c r="C160" s="148"/>
      <c r="D160" s="147" t="s">
        <v>385</v>
      </c>
      <c r="E160" s="148"/>
      <c r="F160" s="148"/>
      <c r="G160" s="147" t="s">
        <v>385</v>
      </c>
      <c r="H160" s="148"/>
      <c r="I160" s="148"/>
      <c r="J160" s="147" t="s">
        <v>385</v>
      </c>
      <c r="K160" s="148"/>
      <c r="L160" s="148"/>
      <c r="M160" s="147" t="s">
        <v>385</v>
      </c>
      <c r="N160" s="148"/>
      <c r="O160" s="148"/>
      <c r="P160" s="147" t="s">
        <v>385</v>
      </c>
      <c r="Q160" s="148"/>
      <c r="R160" s="148"/>
    </row>
    <row r="161" customFormat="false" ht="15.75" hidden="false" customHeight="true" outlineLevel="0" collapsed="false">
      <c r="A161" s="147" t="s">
        <v>386</v>
      </c>
      <c r="B161" s="148"/>
      <c r="C161" s="148"/>
      <c r="D161" s="147" t="s">
        <v>387</v>
      </c>
      <c r="E161" s="148"/>
      <c r="F161" s="148"/>
      <c r="G161" s="147" t="s">
        <v>387</v>
      </c>
      <c r="H161" s="148"/>
      <c r="I161" s="148"/>
      <c r="J161" s="147" t="s">
        <v>387</v>
      </c>
      <c r="K161" s="148"/>
      <c r="L161" s="148"/>
      <c r="M161" s="147" t="s">
        <v>387</v>
      </c>
      <c r="N161" s="148"/>
      <c r="O161" s="148"/>
      <c r="P161" s="147" t="s">
        <v>387</v>
      </c>
      <c r="Q161" s="148"/>
      <c r="R161" s="148"/>
    </row>
    <row r="162" customFormat="false" ht="15.75" hidden="false" customHeight="true" outlineLevel="0" collapsed="false">
      <c r="A162" s="147" t="s">
        <v>117</v>
      </c>
      <c r="B162" s="148"/>
      <c r="C162" s="148"/>
      <c r="D162" s="147" t="s">
        <v>388</v>
      </c>
      <c r="E162" s="148"/>
      <c r="F162" s="148"/>
      <c r="G162" s="147" t="s">
        <v>388</v>
      </c>
      <c r="H162" s="148"/>
      <c r="I162" s="148"/>
      <c r="J162" s="147" t="s">
        <v>388</v>
      </c>
      <c r="K162" s="148"/>
      <c r="L162" s="148"/>
      <c r="M162" s="147" t="s">
        <v>388</v>
      </c>
      <c r="N162" s="148"/>
      <c r="O162" s="148"/>
      <c r="P162" s="147" t="s">
        <v>388</v>
      </c>
      <c r="Q162" s="148"/>
      <c r="R162" s="148"/>
    </row>
    <row r="163" customFormat="false" ht="15.75" hidden="false" customHeight="true" outlineLevel="0" collapsed="false">
      <c r="A163" s="147" t="s">
        <v>1</v>
      </c>
      <c r="B163" s="148"/>
      <c r="C163" s="148"/>
      <c r="D163" s="147" t="s">
        <v>389</v>
      </c>
      <c r="E163" s="148"/>
      <c r="F163" s="148"/>
      <c r="G163" s="147" t="s">
        <v>389</v>
      </c>
      <c r="H163" s="148"/>
      <c r="I163" s="148"/>
      <c r="J163" s="147" t="s">
        <v>389</v>
      </c>
      <c r="K163" s="148"/>
      <c r="L163" s="148"/>
      <c r="M163" s="147" t="s">
        <v>389</v>
      </c>
      <c r="N163" s="148"/>
      <c r="O163" s="148"/>
      <c r="P163" s="147" t="s">
        <v>389</v>
      </c>
      <c r="Q163" s="148"/>
      <c r="R163" s="148"/>
    </row>
    <row r="164" customFormat="false" ht="15.75" hidden="false" customHeight="true" outlineLevel="0" collapsed="false">
      <c r="A164" s="147" t="s">
        <v>6</v>
      </c>
      <c r="B164" s="148"/>
      <c r="C164" s="148"/>
      <c r="D164" s="147" t="s">
        <v>390</v>
      </c>
      <c r="E164" s="148"/>
      <c r="F164" s="148"/>
      <c r="G164" s="147" t="s">
        <v>390</v>
      </c>
      <c r="H164" s="148"/>
      <c r="I164" s="148"/>
      <c r="J164" s="147" t="s">
        <v>390</v>
      </c>
      <c r="K164" s="148"/>
      <c r="L164" s="148"/>
      <c r="M164" s="147" t="s">
        <v>390</v>
      </c>
      <c r="N164" s="148"/>
      <c r="O164" s="148"/>
      <c r="P164" s="147" t="s">
        <v>390</v>
      </c>
      <c r="Q164" s="148"/>
      <c r="R164" s="148"/>
    </row>
    <row r="165" customFormat="false" ht="15.75" hidden="false" customHeight="true" outlineLevel="0" collapsed="false">
      <c r="A165" s="147" t="s">
        <v>3</v>
      </c>
      <c r="B165" s="148"/>
      <c r="C165" s="148"/>
      <c r="D165" s="147" t="s">
        <v>391</v>
      </c>
      <c r="E165" s="148"/>
      <c r="F165" s="148"/>
      <c r="G165" s="147" t="s">
        <v>391</v>
      </c>
      <c r="H165" s="148"/>
      <c r="I165" s="148"/>
      <c r="J165" s="147" t="s">
        <v>391</v>
      </c>
      <c r="K165" s="148"/>
      <c r="L165" s="148"/>
      <c r="M165" s="147" t="s">
        <v>391</v>
      </c>
      <c r="N165" s="148"/>
      <c r="O165" s="148"/>
      <c r="P165" s="147" t="s">
        <v>391</v>
      </c>
      <c r="Q165" s="148"/>
      <c r="R165" s="148"/>
    </row>
    <row r="166" customFormat="false" ht="15.75" hidden="false" customHeight="true" outlineLevel="0" collapsed="false">
      <c r="A166" s="147" t="s">
        <v>392</v>
      </c>
      <c r="B166" s="148"/>
      <c r="C166" s="148"/>
      <c r="D166" s="147" t="s">
        <v>393</v>
      </c>
      <c r="E166" s="148"/>
      <c r="F166" s="148"/>
      <c r="G166" s="147" t="s">
        <v>393</v>
      </c>
      <c r="H166" s="148"/>
      <c r="I166" s="148"/>
      <c r="J166" s="147" t="s">
        <v>393</v>
      </c>
      <c r="K166" s="148"/>
      <c r="L166" s="148"/>
      <c r="M166" s="147" t="s">
        <v>393</v>
      </c>
      <c r="N166" s="148"/>
      <c r="O166" s="148"/>
      <c r="P166" s="147" t="s">
        <v>393</v>
      </c>
      <c r="Q166" s="148"/>
      <c r="R166" s="148"/>
    </row>
    <row r="167" customFormat="false" ht="15.75" hidden="false" customHeight="true" outlineLevel="0" collapsed="false">
      <c r="A167" s="147" t="s">
        <v>394</v>
      </c>
      <c r="B167" s="148"/>
      <c r="C167" s="148"/>
      <c r="D167" s="147" t="s">
        <v>395</v>
      </c>
      <c r="E167" s="148"/>
      <c r="F167" s="148"/>
      <c r="G167" s="147" t="s">
        <v>395</v>
      </c>
      <c r="H167" s="148"/>
      <c r="I167" s="148"/>
      <c r="J167" s="147" t="s">
        <v>395</v>
      </c>
      <c r="K167" s="148"/>
      <c r="L167" s="148"/>
      <c r="M167" s="147" t="s">
        <v>395</v>
      </c>
      <c r="N167" s="148"/>
      <c r="O167" s="148"/>
      <c r="P167" s="147" t="s">
        <v>395</v>
      </c>
      <c r="Q167" s="148"/>
      <c r="R167" s="148"/>
    </row>
    <row r="168" customFormat="false" ht="15.75" hidden="false" customHeight="true" outlineLevel="0" collapsed="false">
      <c r="A168" s="147"/>
      <c r="B168" s="148"/>
      <c r="C168" s="148"/>
      <c r="D168" s="147" t="s">
        <v>396</v>
      </c>
      <c r="E168" s="148"/>
      <c r="F168" s="148"/>
      <c r="G168" s="147" t="s">
        <v>396</v>
      </c>
      <c r="H168" s="148"/>
      <c r="I168" s="148"/>
      <c r="J168" s="147" t="s">
        <v>396</v>
      </c>
      <c r="K168" s="148"/>
      <c r="L168" s="148"/>
      <c r="M168" s="147" t="s">
        <v>396</v>
      </c>
      <c r="N168" s="148"/>
      <c r="O168" s="148"/>
      <c r="P168" s="147" t="s">
        <v>396</v>
      </c>
      <c r="Q168" s="148"/>
      <c r="R168" s="148"/>
    </row>
    <row r="169" customFormat="false" ht="15.75" hidden="false" customHeight="true" outlineLevel="0" collapsed="false">
      <c r="A169" s="147"/>
      <c r="B169" s="148"/>
      <c r="C169" s="148"/>
      <c r="D169" s="147" t="s">
        <v>397</v>
      </c>
      <c r="E169" s="148"/>
      <c r="F169" s="148"/>
      <c r="G169" s="147" t="s">
        <v>397</v>
      </c>
      <c r="H169" s="148"/>
      <c r="I169" s="148"/>
      <c r="J169" s="147" t="s">
        <v>397</v>
      </c>
      <c r="K169" s="148"/>
      <c r="L169" s="148"/>
      <c r="M169" s="147" t="s">
        <v>397</v>
      </c>
      <c r="N169" s="148"/>
      <c r="O169" s="148"/>
      <c r="P169" s="147" t="s">
        <v>397</v>
      </c>
      <c r="Q169" s="148"/>
      <c r="R169" s="148"/>
    </row>
    <row r="170" customFormat="false" ht="15.75" hidden="false" customHeight="true" outlineLevel="0" collapsed="false">
      <c r="A170" s="149"/>
      <c r="B170" s="150"/>
      <c r="C170" s="150"/>
      <c r="D170" s="149"/>
      <c r="E170" s="150"/>
      <c r="F170" s="150"/>
      <c r="G170" s="149"/>
      <c r="H170" s="150"/>
      <c r="I170" s="150"/>
      <c r="J170" s="149"/>
      <c r="K170" s="150"/>
      <c r="L170" s="150"/>
      <c r="M170" s="149"/>
      <c r="N170" s="150"/>
      <c r="O170" s="150"/>
      <c r="P170" s="149"/>
      <c r="Q170" s="150"/>
      <c r="R170" s="150"/>
    </row>
    <row r="171" customFormat="false" ht="15.75" hidden="false" customHeight="true" outlineLevel="0" collapsed="false"/>
    <row r="172" customFormat="false" ht="15.75" hidden="false" customHeight="true" outlineLevel="0" collapsed="false">
      <c r="A172" s="145"/>
      <c r="B172" s="146"/>
      <c r="C172" s="146"/>
      <c r="D172" s="145" t="s">
        <v>373</v>
      </c>
      <c r="E172" s="146"/>
      <c r="F172" s="146"/>
      <c r="G172" s="145" t="s">
        <v>374</v>
      </c>
      <c r="H172" s="146"/>
      <c r="I172" s="146"/>
      <c r="J172" s="145" t="s">
        <v>375</v>
      </c>
      <c r="K172" s="146"/>
      <c r="L172" s="146"/>
      <c r="M172" s="145" t="s">
        <v>376</v>
      </c>
      <c r="N172" s="146"/>
      <c r="O172" s="146"/>
      <c r="P172" s="145" t="s">
        <v>377</v>
      </c>
      <c r="Q172" s="146"/>
      <c r="R172" s="146"/>
    </row>
    <row r="173" customFormat="false" ht="15.75" hidden="false" customHeight="true" outlineLevel="0" collapsed="false">
      <c r="A173" s="147" t="s">
        <v>364</v>
      </c>
      <c r="B173" s="148"/>
      <c r="C173" s="148"/>
      <c r="D173" s="147" t="s">
        <v>148</v>
      </c>
      <c r="E173" s="148"/>
      <c r="F173" s="148"/>
      <c r="G173" s="147" t="s">
        <v>148</v>
      </c>
      <c r="H173" s="148"/>
      <c r="I173" s="148"/>
      <c r="J173" s="147" t="s">
        <v>148</v>
      </c>
      <c r="K173" s="148"/>
      <c r="L173" s="148"/>
      <c r="M173" s="147" t="s">
        <v>148</v>
      </c>
      <c r="N173" s="148"/>
      <c r="O173" s="148"/>
      <c r="P173" s="147" t="s">
        <v>148</v>
      </c>
      <c r="Q173" s="148"/>
      <c r="R173" s="148"/>
    </row>
    <row r="174" customFormat="false" ht="15.75" hidden="false" customHeight="true" outlineLevel="0" collapsed="false">
      <c r="A174" s="147" t="s">
        <v>378</v>
      </c>
      <c r="B174" s="148"/>
      <c r="C174" s="148"/>
      <c r="D174" s="147" t="s">
        <v>379</v>
      </c>
      <c r="E174" s="148"/>
      <c r="F174" s="148"/>
      <c r="G174" s="147" t="s">
        <v>379</v>
      </c>
      <c r="H174" s="148"/>
      <c r="I174" s="148"/>
      <c r="J174" s="147" t="s">
        <v>379</v>
      </c>
      <c r="K174" s="148"/>
      <c r="L174" s="148"/>
      <c r="M174" s="147" t="s">
        <v>379</v>
      </c>
      <c r="N174" s="148"/>
      <c r="O174" s="148"/>
      <c r="P174" s="147" t="s">
        <v>379</v>
      </c>
      <c r="Q174" s="148"/>
      <c r="R174" s="148"/>
    </row>
    <row r="175" customFormat="false" ht="15.75" hidden="false" customHeight="true" outlineLevel="0" collapsed="false">
      <c r="A175" s="147" t="s">
        <v>4</v>
      </c>
      <c r="B175" s="148"/>
      <c r="C175" s="148"/>
      <c r="D175" s="147" t="s">
        <v>380</v>
      </c>
      <c r="E175" s="148"/>
      <c r="F175" s="148"/>
      <c r="G175" s="147" t="s">
        <v>380</v>
      </c>
      <c r="H175" s="148"/>
      <c r="I175" s="148"/>
      <c r="J175" s="147" t="s">
        <v>380</v>
      </c>
      <c r="K175" s="148"/>
      <c r="L175" s="148"/>
      <c r="M175" s="147" t="s">
        <v>380</v>
      </c>
      <c r="N175" s="148"/>
      <c r="O175" s="148"/>
      <c r="P175" s="147" t="s">
        <v>380</v>
      </c>
      <c r="Q175" s="148"/>
      <c r="R175" s="148"/>
    </row>
    <row r="176" customFormat="false" ht="15.75" hidden="false" customHeight="true" outlineLevel="0" collapsed="false">
      <c r="A176" s="147" t="s">
        <v>381</v>
      </c>
      <c r="B176" s="148"/>
      <c r="C176" s="148"/>
      <c r="D176" s="147" t="s">
        <v>382</v>
      </c>
      <c r="E176" s="148"/>
      <c r="F176" s="148"/>
      <c r="G176" s="147" t="s">
        <v>382</v>
      </c>
      <c r="H176" s="148"/>
      <c r="I176" s="148"/>
      <c r="J176" s="147" t="s">
        <v>382</v>
      </c>
      <c r="K176" s="148"/>
      <c r="L176" s="148"/>
      <c r="M176" s="147" t="s">
        <v>382</v>
      </c>
      <c r="N176" s="148"/>
      <c r="O176" s="148"/>
      <c r="P176" s="147" t="s">
        <v>382</v>
      </c>
      <c r="Q176" s="148"/>
      <c r="R176" s="148"/>
    </row>
    <row r="177" customFormat="false" ht="15.75" hidden="false" customHeight="true" outlineLevel="0" collapsed="false">
      <c r="A177" s="147" t="s">
        <v>383</v>
      </c>
      <c r="B177" s="148"/>
      <c r="C177" s="148"/>
      <c r="D177" s="147" t="s">
        <v>384</v>
      </c>
      <c r="E177" s="148"/>
      <c r="F177" s="148"/>
      <c r="G177" s="147" t="s">
        <v>384</v>
      </c>
      <c r="H177" s="148"/>
      <c r="I177" s="148"/>
      <c r="J177" s="147" t="s">
        <v>384</v>
      </c>
      <c r="K177" s="148"/>
      <c r="L177" s="148"/>
      <c r="M177" s="147" t="s">
        <v>384</v>
      </c>
      <c r="N177" s="148"/>
      <c r="O177" s="148"/>
      <c r="P177" s="147" t="s">
        <v>384</v>
      </c>
      <c r="Q177" s="148"/>
      <c r="R177" s="148"/>
    </row>
    <row r="178" customFormat="false" ht="15.75" hidden="false" customHeight="true" outlineLevel="0" collapsed="false">
      <c r="A178" s="147" t="s">
        <v>243</v>
      </c>
      <c r="B178" s="148"/>
      <c r="C178" s="148"/>
      <c r="D178" s="147" t="s">
        <v>347</v>
      </c>
      <c r="E178" s="148"/>
      <c r="F178" s="148"/>
      <c r="G178" s="147" t="s">
        <v>347</v>
      </c>
      <c r="H178" s="148"/>
      <c r="I178" s="148"/>
      <c r="J178" s="147" t="s">
        <v>347</v>
      </c>
      <c r="K178" s="148"/>
      <c r="L178" s="148"/>
      <c r="M178" s="147" t="s">
        <v>347</v>
      </c>
      <c r="N178" s="148"/>
      <c r="O178" s="148"/>
      <c r="P178" s="147" t="s">
        <v>347</v>
      </c>
      <c r="Q178" s="148"/>
      <c r="R178" s="148"/>
    </row>
    <row r="179" customFormat="false" ht="15.75" hidden="false" customHeight="true" outlineLevel="0" collapsed="false">
      <c r="A179" s="147" t="s">
        <v>19</v>
      </c>
      <c r="B179" s="148"/>
      <c r="C179" s="148"/>
      <c r="D179" s="147" t="s">
        <v>385</v>
      </c>
      <c r="E179" s="148"/>
      <c r="F179" s="148"/>
      <c r="G179" s="147" t="s">
        <v>385</v>
      </c>
      <c r="H179" s="148"/>
      <c r="I179" s="148"/>
      <c r="J179" s="147" t="s">
        <v>385</v>
      </c>
      <c r="K179" s="148"/>
      <c r="L179" s="148"/>
      <c r="M179" s="147" t="s">
        <v>385</v>
      </c>
      <c r="N179" s="148"/>
      <c r="O179" s="148"/>
      <c r="P179" s="147" t="s">
        <v>385</v>
      </c>
      <c r="Q179" s="148"/>
      <c r="R179" s="148"/>
    </row>
    <row r="180" customFormat="false" ht="15.75" hidden="false" customHeight="true" outlineLevel="0" collapsed="false">
      <c r="A180" s="147" t="s">
        <v>386</v>
      </c>
      <c r="B180" s="148"/>
      <c r="C180" s="148"/>
      <c r="D180" s="147" t="s">
        <v>387</v>
      </c>
      <c r="E180" s="148"/>
      <c r="F180" s="148"/>
      <c r="G180" s="147" t="s">
        <v>387</v>
      </c>
      <c r="H180" s="148"/>
      <c r="I180" s="148"/>
      <c r="J180" s="147" t="s">
        <v>387</v>
      </c>
      <c r="K180" s="148"/>
      <c r="L180" s="148"/>
      <c r="M180" s="147" t="s">
        <v>387</v>
      </c>
      <c r="N180" s="148"/>
      <c r="O180" s="148"/>
      <c r="P180" s="147" t="s">
        <v>387</v>
      </c>
      <c r="Q180" s="148"/>
      <c r="R180" s="148"/>
    </row>
    <row r="181" customFormat="false" ht="15.75" hidden="false" customHeight="true" outlineLevel="0" collapsed="false">
      <c r="A181" s="147" t="s">
        <v>117</v>
      </c>
      <c r="B181" s="148"/>
      <c r="C181" s="148"/>
      <c r="D181" s="147" t="s">
        <v>388</v>
      </c>
      <c r="E181" s="148"/>
      <c r="F181" s="148"/>
      <c r="G181" s="147" t="s">
        <v>388</v>
      </c>
      <c r="H181" s="148"/>
      <c r="I181" s="148"/>
      <c r="J181" s="147" t="s">
        <v>388</v>
      </c>
      <c r="K181" s="148"/>
      <c r="L181" s="148"/>
      <c r="M181" s="147" t="s">
        <v>388</v>
      </c>
      <c r="N181" s="148"/>
      <c r="O181" s="148"/>
      <c r="P181" s="147" t="s">
        <v>388</v>
      </c>
      <c r="Q181" s="148"/>
      <c r="R181" s="148"/>
    </row>
    <row r="182" customFormat="false" ht="15.75" hidden="false" customHeight="true" outlineLevel="0" collapsed="false">
      <c r="A182" s="147" t="s">
        <v>1</v>
      </c>
      <c r="B182" s="148"/>
      <c r="C182" s="148"/>
      <c r="D182" s="147" t="s">
        <v>389</v>
      </c>
      <c r="E182" s="148"/>
      <c r="F182" s="148"/>
      <c r="G182" s="147" t="s">
        <v>389</v>
      </c>
      <c r="H182" s="148"/>
      <c r="I182" s="148"/>
      <c r="J182" s="147" t="s">
        <v>389</v>
      </c>
      <c r="K182" s="148"/>
      <c r="L182" s="148"/>
      <c r="M182" s="147" t="s">
        <v>389</v>
      </c>
      <c r="N182" s="148"/>
      <c r="O182" s="148"/>
      <c r="P182" s="147" t="s">
        <v>389</v>
      </c>
      <c r="Q182" s="148"/>
      <c r="R182" s="148"/>
    </row>
    <row r="183" customFormat="false" ht="15.75" hidden="false" customHeight="true" outlineLevel="0" collapsed="false">
      <c r="A183" s="147" t="s">
        <v>6</v>
      </c>
      <c r="B183" s="148"/>
      <c r="C183" s="148"/>
      <c r="D183" s="147" t="s">
        <v>390</v>
      </c>
      <c r="E183" s="148"/>
      <c r="F183" s="148"/>
      <c r="G183" s="147" t="s">
        <v>390</v>
      </c>
      <c r="H183" s="148"/>
      <c r="I183" s="148"/>
      <c r="J183" s="147" t="s">
        <v>390</v>
      </c>
      <c r="K183" s="148"/>
      <c r="L183" s="148"/>
      <c r="M183" s="147" t="s">
        <v>390</v>
      </c>
      <c r="N183" s="148"/>
      <c r="O183" s="148"/>
      <c r="P183" s="147" t="s">
        <v>390</v>
      </c>
      <c r="Q183" s="148"/>
      <c r="R183" s="148"/>
    </row>
    <row r="184" customFormat="false" ht="15.75" hidden="false" customHeight="true" outlineLevel="0" collapsed="false">
      <c r="A184" s="147" t="s">
        <v>3</v>
      </c>
      <c r="B184" s="148"/>
      <c r="C184" s="148"/>
      <c r="D184" s="147" t="s">
        <v>391</v>
      </c>
      <c r="E184" s="148"/>
      <c r="F184" s="148"/>
      <c r="G184" s="147" t="s">
        <v>391</v>
      </c>
      <c r="H184" s="148"/>
      <c r="I184" s="148"/>
      <c r="J184" s="147" t="s">
        <v>391</v>
      </c>
      <c r="K184" s="148"/>
      <c r="L184" s="148"/>
      <c r="M184" s="147" t="s">
        <v>391</v>
      </c>
      <c r="N184" s="148"/>
      <c r="O184" s="148"/>
      <c r="P184" s="147" t="s">
        <v>391</v>
      </c>
      <c r="Q184" s="148"/>
      <c r="R184" s="148"/>
    </row>
    <row r="185" customFormat="false" ht="15.75" hidden="false" customHeight="true" outlineLevel="0" collapsed="false">
      <c r="A185" s="147" t="s">
        <v>392</v>
      </c>
      <c r="B185" s="148"/>
      <c r="C185" s="148"/>
      <c r="D185" s="147" t="s">
        <v>393</v>
      </c>
      <c r="E185" s="148"/>
      <c r="F185" s="148"/>
      <c r="G185" s="147" t="s">
        <v>393</v>
      </c>
      <c r="H185" s="148"/>
      <c r="I185" s="148"/>
      <c r="J185" s="147" t="s">
        <v>393</v>
      </c>
      <c r="K185" s="148"/>
      <c r="L185" s="148"/>
      <c r="M185" s="147" t="s">
        <v>393</v>
      </c>
      <c r="N185" s="148"/>
      <c r="O185" s="148"/>
      <c r="P185" s="147" t="s">
        <v>393</v>
      </c>
      <c r="Q185" s="148"/>
      <c r="R185" s="148"/>
    </row>
    <row r="186" customFormat="false" ht="15.75" hidden="false" customHeight="true" outlineLevel="0" collapsed="false">
      <c r="A186" s="147" t="s">
        <v>394</v>
      </c>
      <c r="B186" s="148"/>
      <c r="C186" s="148"/>
      <c r="D186" s="147" t="s">
        <v>395</v>
      </c>
      <c r="E186" s="148"/>
      <c r="F186" s="148"/>
      <c r="G186" s="147" t="s">
        <v>395</v>
      </c>
      <c r="H186" s="148"/>
      <c r="I186" s="148"/>
      <c r="J186" s="147" t="s">
        <v>395</v>
      </c>
      <c r="K186" s="148"/>
      <c r="L186" s="148"/>
      <c r="M186" s="147" t="s">
        <v>395</v>
      </c>
      <c r="N186" s="148"/>
      <c r="O186" s="148"/>
      <c r="P186" s="147" t="s">
        <v>395</v>
      </c>
      <c r="Q186" s="148"/>
      <c r="R186" s="148"/>
    </row>
    <row r="187" customFormat="false" ht="15.75" hidden="false" customHeight="true" outlineLevel="0" collapsed="false">
      <c r="A187" s="147"/>
      <c r="B187" s="148"/>
      <c r="C187" s="148"/>
      <c r="D187" s="147" t="s">
        <v>396</v>
      </c>
      <c r="E187" s="148"/>
      <c r="F187" s="148"/>
      <c r="G187" s="147" t="s">
        <v>396</v>
      </c>
      <c r="H187" s="148"/>
      <c r="I187" s="148"/>
      <c r="J187" s="147" t="s">
        <v>396</v>
      </c>
      <c r="K187" s="148"/>
      <c r="L187" s="148"/>
      <c r="M187" s="147" t="s">
        <v>396</v>
      </c>
      <c r="N187" s="148"/>
      <c r="O187" s="148"/>
      <c r="P187" s="147" t="s">
        <v>396</v>
      </c>
      <c r="Q187" s="148"/>
      <c r="R187" s="148"/>
    </row>
    <row r="188" customFormat="false" ht="15.75" hidden="false" customHeight="true" outlineLevel="0" collapsed="false">
      <c r="A188" s="147"/>
      <c r="B188" s="148"/>
      <c r="C188" s="148"/>
      <c r="D188" s="147" t="s">
        <v>397</v>
      </c>
      <c r="E188" s="148"/>
      <c r="F188" s="148"/>
      <c r="G188" s="147" t="s">
        <v>397</v>
      </c>
      <c r="H188" s="148"/>
      <c r="I188" s="148"/>
      <c r="J188" s="147" t="s">
        <v>397</v>
      </c>
      <c r="K188" s="148"/>
      <c r="L188" s="148"/>
      <c r="M188" s="147" t="s">
        <v>397</v>
      </c>
      <c r="N188" s="148"/>
      <c r="O188" s="148"/>
      <c r="P188" s="147" t="s">
        <v>397</v>
      </c>
      <c r="Q188" s="148"/>
      <c r="R188" s="148"/>
    </row>
    <row r="189" customFormat="false" ht="15.75" hidden="false" customHeight="true" outlineLevel="0" collapsed="false">
      <c r="A189" s="149"/>
      <c r="B189" s="150"/>
      <c r="C189" s="150"/>
      <c r="D189" s="149"/>
      <c r="E189" s="150"/>
      <c r="F189" s="150"/>
      <c r="G189" s="149"/>
      <c r="H189" s="150"/>
      <c r="I189" s="150"/>
      <c r="J189" s="149"/>
      <c r="K189" s="150"/>
      <c r="L189" s="150"/>
      <c r="M189" s="149"/>
      <c r="N189" s="150"/>
      <c r="O189" s="150"/>
      <c r="P189" s="149"/>
      <c r="Q189" s="150"/>
      <c r="R189" s="150"/>
    </row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080">
    <mergeCell ref="B1:C1"/>
    <mergeCell ref="E1:F1"/>
    <mergeCell ref="H1:I1"/>
    <mergeCell ref="K1:L1"/>
    <mergeCell ref="N1:O1"/>
    <mergeCell ref="Q1:R1"/>
    <mergeCell ref="B2:C2"/>
    <mergeCell ref="E2:F2"/>
    <mergeCell ref="H2:I2"/>
    <mergeCell ref="K2:L2"/>
    <mergeCell ref="N2:O2"/>
    <mergeCell ref="Q2:R2"/>
    <mergeCell ref="B3:C3"/>
    <mergeCell ref="E3:F3"/>
    <mergeCell ref="H3:I3"/>
    <mergeCell ref="K3:L3"/>
    <mergeCell ref="N3:O3"/>
    <mergeCell ref="Q3:R3"/>
    <mergeCell ref="B4:C4"/>
    <mergeCell ref="E4:F4"/>
    <mergeCell ref="H4:I4"/>
    <mergeCell ref="K4:L4"/>
    <mergeCell ref="N4:O4"/>
    <mergeCell ref="Q4:R4"/>
    <mergeCell ref="B5:C5"/>
    <mergeCell ref="E5:F5"/>
    <mergeCell ref="H5:I5"/>
    <mergeCell ref="K5:L5"/>
    <mergeCell ref="N5:O5"/>
    <mergeCell ref="Q5:R5"/>
    <mergeCell ref="B6:C6"/>
    <mergeCell ref="E6:F6"/>
    <mergeCell ref="H6:I6"/>
    <mergeCell ref="K6:L6"/>
    <mergeCell ref="N6:O6"/>
    <mergeCell ref="Q6:R6"/>
    <mergeCell ref="B7:C7"/>
    <mergeCell ref="E7:F7"/>
    <mergeCell ref="H7:I7"/>
    <mergeCell ref="K7:L7"/>
    <mergeCell ref="N7:O7"/>
    <mergeCell ref="Q7:R7"/>
    <mergeCell ref="B8:C8"/>
    <mergeCell ref="E8:F8"/>
    <mergeCell ref="H8:I8"/>
    <mergeCell ref="K8:L8"/>
    <mergeCell ref="N8:O8"/>
    <mergeCell ref="Q8:R8"/>
    <mergeCell ref="B9:C9"/>
    <mergeCell ref="E9:F9"/>
    <mergeCell ref="H9:I9"/>
    <mergeCell ref="K9:L9"/>
    <mergeCell ref="N9:O9"/>
    <mergeCell ref="Q9:R9"/>
    <mergeCell ref="B10:C10"/>
    <mergeCell ref="E10:F10"/>
    <mergeCell ref="H10:I10"/>
    <mergeCell ref="K10:L10"/>
    <mergeCell ref="N10:O10"/>
    <mergeCell ref="Q10:R10"/>
    <mergeCell ref="B11:C11"/>
    <mergeCell ref="E11:F11"/>
    <mergeCell ref="H11:I11"/>
    <mergeCell ref="K11:L11"/>
    <mergeCell ref="N11:O11"/>
    <mergeCell ref="Q11:R11"/>
    <mergeCell ref="B12:C12"/>
    <mergeCell ref="E12:F12"/>
    <mergeCell ref="H12:I12"/>
    <mergeCell ref="K12:L12"/>
    <mergeCell ref="N12:O12"/>
    <mergeCell ref="Q12:R12"/>
    <mergeCell ref="B13:C13"/>
    <mergeCell ref="E13:F13"/>
    <mergeCell ref="H13:I13"/>
    <mergeCell ref="K13:L13"/>
    <mergeCell ref="N13:O13"/>
    <mergeCell ref="Q13:R13"/>
    <mergeCell ref="B14:C14"/>
    <mergeCell ref="E14:F14"/>
    <mergeCell ref="H14:I14"/>
    <mergeCell ref="K14:L14"/>
    <mergeCell ref="N14:O14"/>
    <mergeCell ref="Q14:R14"/>
    <mergeCell ref="B15:C15"/>
    <mergeCell ref="E15:F15"/>
    <mergeCell ref="H15:I15"/>
    <mergeCell ref="K15:L15"/>
    <mergeCell ref="N15:O15"/>
    <mergeCell ref="Q15:R15"/>
    <mergeCell ref="B16:C16"/>
    <mergeCell ref="E16:F16"/>
    <mergeCell ref="H16:I16"/>
    <mergeCell ref="K16:L16"/>
    <mergeCell ref="N16:O16"/>
    <mergeCell ref="Q16:R16"/>
    <mergeCell ref="B17:C17"/>
    <mergeCell ref="E17:F17"/>
    <mergeCell ref="H17:I17"/>
    <mergeCell ref="K17:L17"/>
    <mergeCell ref="N17:O17"/>
    <mergeCell ref="Q17:R17"/>
    <mergeCell ref="B18:C18"/>
    <mergeCell ref="E18:F18"/>
    <mergeCell ref="H18:I18"/>
    <mergeCell ref="K18:L18"/>
    <mergeCell ref="N18:O18"/>
    <mergeCell ref="Q18:R18"/>
    <mergeCell ref="B20:C20"/>
    <mergeCell ref="E20:F20"/>
    <mergeCell ref="H20:I20"/>
    <mergeCell ref="K20:L20"/>
    <mergeCell ref="N20:O20"/>
    <mergeCell ref="Q20:R20"/>
    <mergeCell ref="B21:C21"/>
    <mergeCell ref="E21:F21"/>
    <mergeCell ref="H21:I21"/>
    <mergeCell ref="K21:L21"/>
    <mergeCell ref="N21:O21"/>
    <mergeCell ref="Q21:R21"/>
    <mergeCell ref="B22:C22"/>
    <mergeCell ref="E22:F22"/>
    <mergeCell ref="H22:I22"/>
    <mergeCell ref="K22:L22"/>
    <mergeCell ref="N22:O22"/>
    <mergeCell ref="Q22:R22"/>
    <mergeCell ref="B23:C23"/>
    <mergeCell ref="E23:F23"/>
    <mergeCell ref="H23:I23"/>
    <mergeCell ref="K23:L23"/>
    <mergeCell ref="N23:O23"/>
    <mergeCell ref="Q23:R23"/>
    <mergeCell ref="B24:C24"/>
    <mergeCell ref="E24:F24"/>
    <mergeCell ref="H24:I24"/>
    <mergeCell ref="K24:L24"/>
    <mergeCell ref="N24:O24"/>
    <mergeCell ref="Q24:R24"/>
    <mergeCell ref="B25:C25"/>
    <mergeCell ref="E25:F25"/>
    <mergeCell ref="H25:I25"/>
    <mergeCell ref="K25:L25"/>
    <mergeCell ref="N25:O25"/>
    <mergeCell ref="Q25:R25"/>
    <mergeCell ref="B26:C26"/>
    <mergeCell ref="E26:F26"/>
    <mergeCell ref="H26:I26"/>
    <mergeCell ref="K26:L26"/>
    <mergeCell ref="N26:O26"/>
    <mergeCell ref="Q26:R26"/>
    <mergeCell ref="B27:C27"/>
    <mergeCell ref="E27:F27"/>
    <mergeCell ref="H27:I27"/>
    <mergeCell ref="K27:L27"/>
    <mergeCell ref="N27:O27"/>
    <mergeCell ref="Q27:R27"/>
    <mergeCell ref="B28:C28"/>
    <mergeCell ref="E28:F28"/>
    <mergeCell ref="H28:I28"/>
    <mergeCell ref="K28:L28"/>
    <mergeCell ref="N28:O28"/>
    <mergeCell ref="Q28:R28"/>
    <mergeCell ref="B29:C29"/>
    <mergeCell ref="E29:F29"/>
    <mergeCell ref="H29:I29"/>
    <mergeCell ref="K29:L29"/>
    <mergeCell ref="N29:O29"/>
    <mergeCell ref="Q29:R29"/>
    <mergeCell ref="B30:C30"/>
    <mergeCell ref="E30:F30"/>
    <mergeCell ref="H30:I30"/>
    <mergeCell ref="K30:L30"/>
    <mergeCell ref="N30:O30"/>
    <mergeCell ref="Q30:R30"/>
    <mergeCell ref="B31:C31"/>
    <mergeCell ref="E31:F31"/>
    <mergeCell ref="H31:I31"/>
    <mergeCell ref="K31:L31"/>
    <mergeCell ref="N31:O31"/>
    <mergeCell ref="Q31:R31"/>
    <mergeCell ref="B32:C32"/>
    <mergeCell ref="E32:F32"/>
    <mergeCell ref="H32:I32"/>
    <mergeCell ref="K32:L32"/>
    <mergeCell ref="N32:O32"/>
    <mergeCell ref="Q32:R32"/>
    <mergeCell ref="B33:C33"/>
    <mergeCell ref="E33:F33"/>
    <mergeCell ref="H33:I33"/>
    <mergeCell ref="K33:L33"/>
    <mergeCell ref="N33:O33"/>
    <mergeCell ref="Q33:R33"/>
    <mergeCell ref="B34:C34"/>
    <mergeCell ref="E34:F34"/>
    <mergeCell ref="H34:I34"/>
    <mergeCell ref="K34:L34"/>
    <mergeCell ref="N34:O34"/>
    <mergeCell ref="Q34:R34"/>
    <mergeCell ref="B35:C35"/>
    <mergeCell ref="E35:F35"/>
    <mergeCell ref="H35:I35"/>
    <mergeCell ref="K35:L35"/>
    <mergeCell ref="N35:O35"/>
    <mergeCell ref="Q35:R35"/>
    <mergeCell ref="B36:C36"/>
    <mergeCell ref="E36:F36"/>
    <mergeCell ref="H36:I36"/>
    <mergeCell ref="K36:L36"/>
    <mergeCell ref="N36:O36"/>
    <mergeCell ref="Q36:R36"/>
    <mergeCell ref="B37:C37"/>
    <mergeCell ref="E37:F37"/>
    <mergeCell ref="H37:I37"/>
    <mergeCell ref="K37:L37"/>
    <mergeCell ref="N37:O37"/>
    <mergeCell ref="Q37:R37"/>
    <mergeCell ref="B39:C39"/>
    <mergeCell ref="E39:F39"/>
    <mergeCell ref="H39:I39"/>
    <mergeCell ref="K39:L39"/>
    <mergeCell ref="N39:O39"/>
    <mergeCell ref="Q39:R39"/>
    <mergeCell ref="B40:C40"/>
    <mergeCell ref="E40:F40"/>
    <mergeCell ref="H40:I40"/>
    <mergeCell ref="K40:L40"/>
    <mergeCell ref="N40:O40"/>
    <mergeCell ref="Q40:R40"/>
    <mergeCell ref="B41:C41"/>
    <mergeCell ref="E41:F41"/>
    <mergeCell ref="H41:I41"/>
    <mergeCell ref="K41:L41"/>
    <mergeCell ref="N41:O41"/>
    <mergeCell ref="Q41:R41"/>
    <mergeCell ref="B42:C42"/>
    <mergeCell ref="E42:F42"/>
    <mergeCell ref="H42:I42"/>
    <mergeCell ref="K42:L42"/>
    <mergeCell ref="N42:O42"/>
    <mergeCell ref="Q42:R42"/>
    <mergeCell ref="B43:C43"/>
    <mergeCell ref="E43:F43"/>
    <mergeCell ref="H43:I43"/>
    <mergeCell ref="K43:L43"/>
    <mergeCell ref="N43:O43"/>
    <mergeCell ref="Q43:R43"/>
    <mergeCell ref="B44:C44"/>
    <mergeCell ref="E44:F44"/>
    <mergeCell ref="H44:I44"/>
    <mergeCell ref="K44:L44"/>
    <mergeCell ref="N44:O44"/>
    <mergeCell ref="Q44:R44"/>
    <mergeCell ref="B45:C45"/>
    <mergeCell ref="E45:F45"/>
    <mergeCell ref="H45:I45"/>
    <mergeCell ref="K45:L45"/>
    <mergeCell ref="N45:O45"/>
    <mergeCell ref="Q45:R45"/>
    <mergeCell ref="B46:C46"/>
    <mergeCell ref="E46:F46"/>
    <mergeCell ref="H46:I46"/>
    <mergeCell ref="K46:L46"/>
    <mergeCell ref="N46:O46"/>
    <mergeCell ref="Q46:R46"/>
    <mergeCell ref="B47:C47"/>
    <mergeCell ref="E47:F47"/>
    <mergeCell ref="H47:I47"/>
    <mergeCell ref="K47:L47"/>
    <mergeCell ref="N47:O47"/>
    <mergeCell ref="Q47:R47"/>
    <mergeCell ref="B48:C48"/>
    <mergeCell ref="E48:F48"/>
    <mergeCell ref="H48:I48"/>
    <mergeCell ref="K48:L48"/>
    <mergeCell ref="N48:O48"/>
    <mergeCell ref="Q48:R48"/>
    <mergeCell ref="B49:C49"/>
    <mergeCell ref="E49:F49"/>
    <mergeCell ref="H49:I49"/>
    <mergeCell ref="K49:L49"/>
    <mergeCell ref="N49:O49"/>
    <mergeCell ref="Q49:R49"/>
    <mergeCell ref="B50:C50"/>
    <mergeCell ref="E50:F50"/>
    <mergeCell ref="H50:I50"/>
    <mergeCell ref="K50:L50"/>
    <mergeCell ref="N50:O50"/>
    <mergeCell ref="Q50:R50"/>
    <mergeCell ref="B51:C51"/>
    <mergeCell ref="E51:F51"/>
    <mergeCell ref="H51:I51"/>
    <mergeCell ref="K51:L51"/>
    <mergeCell ref="N51:O51"/>
    <mergeCell ref="Q51:R51"/>
    <mergeCell ref="B52:C52"/>
    <mergeCell ref="E52:F52"/>
    <mergeCell ref="H52:I52"/>
    <mergeCell ref="K52:L52"/>
    <mergeCell ref="N52:O52"/>
    <mergeCell ref="Q52:R52"/>
    <mergeCell ref="B53:C53"/>
    <mergeCell ref="E53:F53"/>
    <mergeCell ref="H53:I53"/>
    <mergeCell ref="K53:L53"/>
    <mergeCell ref="N53:O53"/>
    <mergeCell ref="Q53:R53"/>
    <mergeCell ref="B54:C54"/>
    <mergeCell ref="E54:F54"/>
    <mergeCell ref="H54:I54"/>
    <mergeCell ref="K54:L54"/>
    <mergeCell ref="N54:O54"/>
    <mergeCell ref="Q54:R54"/>
    <mergeCell ref="B55:C55"/>
    <mergeCell ref="E55:F55"/>
    <mergeCell ref="H55:I55"/>
    <mergeCell ref="K55:L55"/>
    <mergeCell ref="N55:O55"/>
    <mergeCell ref="Q55:R55"/>
    <mergeCell ref="B56:C56"/>
    <mergeCell ref="E56:F56"/>
    <mergeCell ref="H56:I56"/>
    <mergeCell ref="K56:L56"/>
    <mergeCell ref="N56:O56"/>
    <mergeCell ref="Q56:R56"/>
    <mergeCell ref="B58:C58"/>
    <mergeCell ref="E58:F58"/>
    <mergeCell ref="H58:I58"/>
    <mergeCell ref="K58:L58"/>
    <mergeCell ref="N58:O58"/>
    <mergeCell ref="Q58:R58"/>
    <mergeCell ref="B59:C59"/>
    <mergeCell ref="E59:F59"/>
    <mergeCell ref="H59:I59"/>
    <mergeCell ref="K59:L59"/>
    <mergeCell ref="N59:O59"/>
    <mergeCell ref="Q59:R59"/>
    <mergeCell ref="B60:C60"/>
    <mergeCell ref="E60:F60"/>
    <mergeCell ref="H60:I60"/>
    <mergeCell ref="K60:L60"/>
    <mergeCell ref="N60:O60"/>
    <mergeCell ref="Q60:R60"/>
    <mergeCell ref="B61:C61"/>
    <mergeCell ref="E61:F61"/>
    <mergeCell ref="H61:I61"/>
    <mergeCell ref="K61:L61"/>
    <mergeCell ref="N61:O61"/>
    <mergeCell ref="Q61:R61"/>
    <mergeCell ref="B62:C62"/>
    <mergeCell ref="E62:F62"/>
    <mergeCell ref="H62:I62"/>
    <mergeCell ref="K62:L62"/>
    <mergeCell ref="N62:O62"/>
    <mergeCell ref="Q62:R62"/>
    <mergeCell ref="B63:C63"/>
    <mergeCell ref="E63:F63"/>
    <mergeCell ref="H63:I63"/>
    <mergeCell ref="K63:L63"/>
    <mergeCell ref="N63:O63"/>
    <mergeCell ref="Q63:R63"/>
    <mergeCell ref="B64:C64"/>
    <mergeCell ref="E64:F64"/>
    <mergeCell ref="H64:I64"/>
    <mergeCell ref="K64:L64"/>
    <mergeCell ref="N64:O64"/>
    <mergeCell ref="Q64:R64"/>
    <mergeCell ref="B65:C65"/>
    <mergeCell ref="E65:F65"/>
    <mergeCell ref="H65:I65"/>
    <mergeCell ref="K65:L65"/>
    <mergeCell ref="N65:O65"/>
    <mergeCell ref="Q65:R65"/>
    <mergeCell ref="B66:C66"/>
    <mergeCell ref="E66:F66"/>
    <mergeCell ref="H66:I66"/>
    <mergeCell ref="K66:L66"/>
    <mergeCell ref="N66:O66"/>
    <mergeCell ref="Q66:R66"/>
    <mergeCell ref="B67:C67"/>
    <mergeCell ref="E67:F67"/>
    <mergeCell ref="H67:I67"/>
    <mergeCell ref="K67:L67"/>
    <mergeCell ref="N67:O67"/>
    <mergeCell ref="Q67:R67"/>
    <mergeCell ref="B68:C68"/>
    <mergeCell ref="E68:F68"/>
    <mergeCell ref="H68:I68"/>
    <mergeCell ref="K68:L68"/>
    <mergeCell ref="N68:O68"/>
    <mergeCell ref="Q68:R68"/>
    <mergeCell ref="B69:C69"/>
    <mergeCell ref="E69:F69"/>
    <mergeCell ref="H69:I69"/>
    <mergeCell ref="K69:L69"/>
    <mergeCell ref="N69:O69"/>
    <mergeCell ref="Q69:R69"/>
    <mergeCell ref="B70:C70"/>
    <mergeCell ref="E70:F70"/>
    <mergeCell ref="H70:I70"/>
    <mergeCell ref="K70:L70"/>
    <mergeCell ref="N70:O70"/>
    <mergeCell ref="Q70:R70"/>
    <mergeCell ref="B71:C71"/>
    <mergeCell ref="E71:F71"/>
    <mergeCell ref="H71:I71"/>
    <mergeCell ref="K71:L71"/>
    <mergeCell ref="N71:O71"/>
    <mergeCell ref="Q71:R71"/>
    <mergeCell ref="B72:C72"/>
    <mergeCell ref="E72:F72"/>
    <mergeCell ref="H72:I72"/>
    <mergeCell ref="K72:L72"/>
    <mergeCell ref="N72:O72"/>
    <mergeCell ref="Q72:R72"/>
    <mergeCell ref="B73:C73"/>
    <mergeCell ref="E73:F73"/>
    <mergeCell ref="H73:I73"/>
    <mergeCell ref="K73:L73"/>
    <mergeCell ref="N73:O73"/>
    <mergeCell ref="Q73:R73"/>
    <mergeCell ref="B74:C74"/>
    <mergeCell ref="E74:F74"/>
    <mergeCell ref="H74:I74"/>
    <mergeCell ref="K74:L74"/>
    <mergeCell ref="N74:O74"/>
    <mergeCell ref="Q74:R74"/>
    <mergeCell ref="B75:C75"/>
    <mergeCell ref="E75:F75"/>
    <mergeCell ref="H75:I75"/>
    <mergeCell ref="K75:L75"/>
    <mergeCell ref="N75:O75"/>
    <mergeCell ref="Q75:R75"/>
    <mergeCell ref="B77:C77"/>
    <mergeCell ref="E77:F77"/>
    <mergeCell ref="H77:I77"/>
    <mergeCell ref="K77:L77"/>
    <mergeCell ref="N77:O77"/>
    <mergeCell ref="Q77:R77"/>
    <mergeCell ref="B78:C78"/>
    <mergeCell ref="E78:F78"/>
    <mergeCell ref="H78:I78"/>
    <mergeCell ref="K78:L78"/>
    <mergeCell ref="N78:O78"/>
    <mergeCell ref="Q78:R78"/>
    <mergeCell ref="B79:C79"/>
    <mergeCell ref="E79:F79"/>
    <mergeCell ref="H79:I79"/>
    <mergeCell ref="K79:L79"/>
    <mergeCell ref="N79:O79"/>
    <mergeCell ref="Q79:R79"/>
    <mergeCell ref="B80:C80"/>
    <mergeCell ref="E80:F80"/>
    <mergeCell ref="H80:I80"/>
    <mergeCell ref="K80:L80"/>
    <mergeCell ref="N80:O80"/>
    <mergeCell ref="Q80:R80"/>
    <mergeCell ref="B81:C81"/>
    <mergeCell ref="E81:F81"/>
    <mergeCell ref="H81:I81"/>
    <mergeCell ref="K81:L81"/>
    <mergeCell ref="N81:O81"/>
    <mergeCell ref="Q81:R81"/>
    <mergeCell ref="B82:C82"/>
    <mergeCell ref="E82:F82"/>
    <mergeCell ref="H82:I82"/>
    <mergeCell ref="K82:L82"/>
    <mergeCell ref="N82:O82"/>
    <mergeCell ref="Q82:R82"/>
    <mergeCell ref="B83:C83"/>
    <mergeCell ref="E83:F83"/>
    <mergeCell ref="H83:I83"/>
    <mergeCell ref="K83:L83"/>
    <mergeCell ref="N83:O83"/>
    <mergeCell ref="Q83:R83"/>
    <mergeCell ref="B84:C84"/>
    <mergeCell ref="E84:F84"/>
    <mergeCell ref="H84:I84"/>
    <mergeCell ref="K84:L84"/>
    <mergeCell ref="N84:O84"/>
    <mergeCell ref="Q84:R84"/>
    <mergeCell ref="B85:C85"/>
    <mergeCell ref="E85:F85"/>
    <mergeCell ref="H85:I85"/>
    <mergeCell ref="K85:L85"/>
    <mergeCell ref="N85:O85"/>
    <mergeCell ref="Q85:R85"/>
    <mergeCell ref="B86:C86"/>
    <mergeCell ref="E86:F86"/>
    <mergeCell ref="H86:I86"/>
    <mergeCell ref="K86:L86"/>
    <mergeCell ref="N86:O86"/>
    <mergeCell ref="Q86:R86"/>
    <mergeCell ref="B87:C87"/>
    <mergeCell ref="E87:F87"/>
    <mergeCell ref="H87:I87"/>
    <mergeCell ref="K87:L87"/>
    <mergeCell ref="N87:O87"/>
    <mergeCell ref="Q87:R87"/>
    <mergeCell ref="B88:C88"/>
    <mergeCell ref="E88:F88"/>
    <mergeCell ref="H88:I88"/>
    <mergeCell ref="K88:L88"/>
    <mergeCell ref="N88:O88"/>
    <mergeCell ref="Q88:R88"/>
    <mergeCell ref="B89:C89"/>
    <mergeCell ref="E89:F89"/>
    <mergeCell ref="H89:I89"/>
    <mergeCell ref="K89:L89"/>
    <mergeCell ref="N89:O89"/>
    <mergeCell ref="Q89:R89"/>
    <mergeCell ref="B90:C90"/>
    <mergeCell ref="E90:F90"/>
    <mergeCell ref="H90:I90"/>
    <mergeCell ref="K90:L90"/>
    <mergeCell ref="N90:O90"/>
    <mergeCell ref="Q90:R90"/>
    <mergeCell ref="B91:C91"/>
    <mergeCell ref="E91:F91"/>
    <mergeCell ref="H91:I91"/>
    <mergeCell ref="K91:L91"/>
    <mergeCell ref="N91:O91"/>
    <mergeCell ref="Q91:R91"/>
    <mergeCell ref="B92:C92"/>
    <mergeCell ref="E92:F92"/>
    <mergeCell ref="H92:I92"/>
    <mergeCell ref="K92:L92"/>
    <mergeCell ref="N92:O92"/>
    <mergeCell ref="Q92:R92"/>
    <mergeCell ref="B93:C93"/>
    <mergeCell ref="E93:F93"/>
    <mergeCell ref="H93:I93"/>
    <mergeCell ref="K93:L93"/>
    <mergeCell ref="N93:O93"/>
    <mergeCell ref="Q93:R93"/>
    <mergeCell ref="B94:C94"/>
    <mergeCell ref="E94:F94"/>
    <mergeCell ref="H94:I94"/>
    <mergeCell ref="K94:L94"/>
    <mergeCell ref="N94:O94"/>
    <mergeCell ref="Q94:R94"/>
    <mergeCell ref="B96:C96"/>
    <mergeCell ref="E96:F96"/>
    <mergeCell ref="H96:I96"/>
    <mergeCell ref="K96:L96"/>
    <mergeCell ref="N96:O96"/>
    <mergeCell ref="Q96:R96"/>
    <mergeCell ref="B97:C97"/>
    <mergeCell ref="E97:F97"/>
    <mergeCell ref="H97:I97"/>
    <mergeCell ref="K97:L97"/>
    <mergeCell ref="N97:O97"/>
    <mergeCell ref="Q97:R97"/>
    <mergeCell ref="B98:C98"/>
    <mergeCell ref="E98:F98"/>
    <mergeCell ref="H98:I98"/>
    <mergeCell ref="K98:L98"/>
    <mergeCell ref="N98:O98"/>
    <mergeCell ref="Q98:R98"/>
    <mergeCell ref="B99:C99"/>
    <mergeCell ref="E99:F99"/>
    <mergeCell ref="H99:I99"/>
    <mergeCell ref="K99:L99"/>
    <mergeCell ref="N99:O99"/>
    <mergeCell ref="Q99:R99"/>
    <mergeCell ref="B100:C100"/>
    <mergeCell ref="E100:F100"/>
    <mergeCell ref="H100:I100"/>
    <mergeCell ref="K100:L100"/>
    <mergeCell ref="N100:O100"/>
    <mergeCell ref="Q100:R100"/>
    <mergeCell ref="B101:C101"/>
    <mergeCell ref="E101:F101"/>
    <mergeCell ref="H101:I101"/>
    <mergeCell ref="K101:L101"/>
    <mergeCell ref="N101:O101"/>
    <mergeCell ref="Q101:R101"/>
    <mergeCell ref="B102:C102"/>
    <mergeCell ref="E102:F102"/>
    <mergeCell ref="H102:I102"/>
    <mergeCell ref="K102:L102"/>
    <mergeCell ref="N102:O102"/>
    <mergeCell ref="Q102:R102"/>
    <mergeCell ref="B103:C103"/>
    <mergeCell ref="E103:F103"/>
    <mergeCell ref="H103:I103"/>
    <mergeCell ref="K103:L103"/>
    <mergeCell ref="N103:O103"/>
    <mergeCell ref="Q103:R103"/>
    <mergeCell ref="B104:C104"/>
    <mergeCell ref="E104:F104"/>
    <mergeCell ref="H104:I104"/>
    <mergeCell ref="K104:L104"/>
    <mergeCell ref="N104:O104"/>
    <mergeCell ref="Q104:R104"/>
    <mergeCell ref="B105:C105"/>
    <mergeCell ref="E105:F105"/>
    <mergeCell ref="H105:I105"/>
    <mergeCell ref="K105:L105"/>
    <mergeCell ref="N105:O105"/>
    <mergeCell ref="Q105:R105"/>
    <mergeCell ref="B106:C106"/>
    <mergeCell ref="E106:F106"/>
    <mergeCell ref="H106:I106"/>
    <mergeCell ref="K106:L106"/>
    <mergeCell ref="N106:O106"/>
    <mergeCell ref="Q106:R106"/>
    <mergeCell ref="B107:C107"/>
    <mergeCell ref="E107:F107"/>
    <mergeCell ref="H107:I107"/>
    <mergeCell ref="K107:L107"/>
    <mergeCell ref="N107:O107"/>
    <mergeCell ref="Q107:R107"/>
    <mergeCell ref="B108:C108"/>
    <mergeCell ref="E108:F108"/>
    <mergeCell ref="H108:I108"/>
    <mergeCell ref="K108:L108"/>
    <mergeCell ref="N108:O108"/>
    <mergeCell ref="Q108:R108"/>
    <mergeCell ref="B109:C109"/>
    <mergeCell ref="E109:F109"/>
    <mergeCell ref="H109:I109"/>
    <mergeCell ref="K109:L109"/>
    <mergeCell ref="N109:O109"/>
    <mergeCell ref="Q109:R109"/>
    <mergeCell ref="B110:C110"/>
    <mergeCell ref="E110:F110"/>
    <mergeCell ref="H110:I110"/>
    <mergeCell ref="K110:L110"/>
    <mergeCell ref="N110:O110"/>
    <mergeCell ref="Q110:R110"/>
    <mergeCell ref="B111:C111"/>
    <mergeCell ref="E111:F111"/>
    <mergeCell ref="H111:I111"/>
    <mergeCell ref="K111:L111"/>
    <mergeCell ref="N111:O111"/>
    <mergeCell ref="Q111:R111"/>
    <mergeCell ref="B112:C112"/>
    <mergeCell ref="E112:F112"/>
    <mergeCell ref="H112:I112"/>
    <mergeCell ref="K112:L112"/>
    <mergeCell ref="N112:O112"/>
    <mergeCell ref="Q112:R112"/>
    <mergeCell ref="B113:C113"/>
    <mergeCell ref="E113:F113"/>
    <mergeCell ref="H113:I113"/>
    <mergeCell ref="K113:L113"/>
    <mergeCell ref="N113:O113"/>
    <mergeCell ref="Q113:R113"/>
    <mergeCell ref="B115:C115"/>
    <mergeCell ref="E115:F115"/>
    <mergeCell ref="H115:I115"/>
    <mergeCell ref="K115:L115"/>
    <mergeCell ref="N115:O115"/>
    <mergeCell ref="Q115:R115"/>
    <mergeCell ref="B116:C116"/>
    <mergeCell ref="E116:F116"/>
    <mergeCell ref="H116:I116"/>
    <mergeCell ref="K116:L116"/>
    <mergeCell ref="N116:O116"/>
    <mergeCell ref="Q116:R116"/>
    <mergeCell ref="B117:C117"/>
    <mergeCell ref="E117:F117"/>
    <mergeCell ref="H117:I117"/>
    <mergeCell ref="K117:L117"/>
    <mergeCell ref="N117:O117"/>
    <mergeCell ref="Q117:R117"/>
    <mergeCell ref="B118:C118"/>
    <mergeCell ref="E118:F118"/>
    <mergeCell ref="H118:I118"/>
    <mergeCell ref="K118:L118"/>
    <mergeCell ref="N118:O118"/>
    <mergeCell ref="Q118:R118"/>
    <mergeCell ref="B119:C119"/>
    <mergeCell ref="E119:F119"/>
    <mergeCell ref="H119:I119"/>
    <mergeCell ref="K119:L119"/>
    <mergeCell ref="N119:O119"/>
    <mergeCell ref="Q119:R119"/>
    <mergeCell ref="B120:C120"/>
    <mergeCell ref="E120:F120"/>
    <mergeCell ref="H120:I120"/>
    <mergeCell ref="K120:L120"/>
    <mergeCell ref="N120:O120"/>
    <mergeCell ref="Q120:R120"/>
    <mergeCell ref="B121:C121"/>
    <mergeCell ref="E121:F121"/>
    <mergeCell ref="H121:I121"/>
    <mergeCell ref="K121:L121"/>
    <mergeCell ref="N121:O121"/>
    <mergeCell ref="Q121:R121"/>
    <mergeCell ref="B122:C122"/>
    <mergeCell ref="E122:F122"/>
    <mergeCell ref="H122:I122"/>
    <mergeCell ref="K122:L122"/>
    <mergeCell ref="N122:O122"/>
    <mergeCell ref="Q122:R122"/>
    <mergeCell ref="B123:C123"/>
    <mergeCell ref="E123:F123"/>
    <mergeCell ref="H123:I123"/>
    <mergeCell ref="K123:L123"/>
    <mergeCell ref="N123:O123"/>
    <mergeCell ref="Q123:R123"/>
    <mergeCell ref="B124:C124"/>
    <mergeCell ref="E124:F124"/>
    <mergeCell ref="H124:I124"/>
    <mergeCell ref="K124:L124"/>
    <mergeCell ref="N124:O124"/>
    <mergeCell ref="Q124:R124"/>
    <mergeCell ref="B125:C125"/>
    <mergeCell ref="E125:F125"/>
    <mergeCell ref="H125:I125"/>
    <mergeCell ref="K125:L125"/>
    <mergeCell ref="N125:O125"/>
    <mergeCell ref="Q125:R125"/>
    <mergeCell ref="B126:C126"/>
    <mergeCell ref="E126:F126"/>
    <mergeCell ref="H126:I126"/>
    <mergeCell ref="K126:L126"/>
    <mergeCell ref="N126:O126"/>
    <mergeCell ref="Q126:R126"/>
    <mergeCell ref="B127:C127"/>
    <mergeCell ref="E127:F127"/>
    <mergeCell ref="H127:I127"/>
    <mergeCell ref="K127:L127"/>
    <mergeCell ref="N127:O127"/>
    <mergeCell ref="Q127:R127"/>
    <mergeCell ref="B128:C128"/>
    <mergeCell ref="E128:F128"/>
    <mergeCell ref="H128:I128"/>
    <mergeCell ref="K128:L128"/>
    <mergeCell ref="N128:O128"/>
    <mergeCell ref="Q128:R128"/>
    <mergeCell ref="B129:C129"/>
    <mergeCell ref="E129:F129"/>
    <mergeCell ref="H129:I129"/>
    <mergeCell ref="K129:L129"/>
    <mergeCell ref="N129:O129"/>
    <mergeCell ref="Q129:R129"/>
    <mergeCell ref="B130:C130"/>
    <mergeCell ref="E130:F130"/>
    <mergeCell ref="H130:I130"/>
    <mergeCell ref="K130:L130"/>
    <mergeCell ref="N130:O130"/>
    <mergeCell ref="Q130:R130"/>
    <mergeCell ref="B131:C131"/>
    <mergeCell ref="E131:F131"/>
    <mergeCell ref="H131:I131"/>
    <mergeCell ref="K131:L131"/>
    <mergeCell ref="N131:O131"/>
    <mergeCell ref="Q131:R131"/>
    <mergeCell ref="B132:C132"/>
    <mergeCell ref="E132:F132"/>
    <mergeCell ref="H132:I132"/>
    <mergeCell ref="K132:L132"/>
    <mergeCell ref="N132:O132"/>
    <mergeCell ref="Q132:R132"/>
    <mergeCell ref="B134:C134"/>
    <mergeCell ref="E134:F134"/>
    <mergeCell ref="H134:I134"/>
    <mergeCell ref="K134:L134"/>
    <mergeCell ref="N134:O134"/>
    <mergeCell ref="Q134:R134"/>
    <mergeCell ref="B135:C135"/>
    <mergeCell ref="E135:F135"/>
    <mergeCell ref="H135:I135"/>
    <mergeCell ref="K135:L135"/>
    <mergeCell ref="N135:O135"/>
    <mergeCell ref="Q135:R135"/>
    <mergeCell ref="B136:C136"/>
    <mergeCell ref="E136:F136"/>
    <mergeCell ref="H136:I136"/>
    <mergeCell ref="K136:L136"/>
    <mergeCell ref="N136:O136"/>
    <mergeCell ref="Q136:R136"/>
    <mergeCell ref="B137:C137"/>
    <mergeCell ref="E137:F137"/>
    <mergeCell ref="H137:I137"/>
    <mergeCell ref="K137:L137"/>
    <mergeCell ref="N137:O137"/>
    <mergeCell ref="Q137:R137"/>
    <mergeCell ref="B138:C138"/>
    <mergeCell ref="E138:F138"/>
    <mergeCell ref="H138:I138"/>
    <mergeCell ref="K138:L138"/>
    <mergeCell ref="N138:O138"/>
    <mergeCell ref="Q138:R138"/>
    <mergeCell ref="B139:C139"/>
    <mergeCell ref="E139:F139"/>
    <mergeCell ref="H139:I139"/>
    <mergeCell ref="K139:L139"/>
    <mergeCell ref="N139:O139"/>
    <mergeCell ref="Q139:R139"/>
    <mergeCell ref="B140:C140"/>
    <mergeCell ref="E140:F140"/>
    <mergeCell ref="H140:I140"/>
    <mergeCell ref="K140:L140"/>
    <mergeCell ref="N140:O140"/>
    <mergeCell ref="Q140:R140"/>
    <mergeCell ref="B141:C141"/>
    <mergeCell ref="E141:F141"/>
    <mergeCell ref="H141:I141"/>
    <mergeCell ref="K141:L141"/>
    <mergeCell ref="N141:O141"/>
    <mergeCell ref="Q141:R141"/>
    <mergeCell ref="B142:C142"/>
    <mergeCell ref="E142:F142"/>
    <mergeCell ref="H142:I142"/>
    <mergeCell ref="K142:L142"/>
    <mergeCell ref="N142:O142"/>
    <mergeCell ref="Q142:R142"/>
    <mergeCell ref="B143:C143"/>
    <mergeCell ref="E143:F143"/>
    <mergeCell ref="H143:I143"/>
    <mergeCell ref="K143:L143"/>
    <mergeCell ref="N143:O143"/>
    <mergeCell ref="Q143:R143"/>
    <mergeCell ref="B144:C144"/>
    <mergeCell ref="E144:F144"/>
    <mergeCell ref="H144:I144"/>
    <mergeCell ref="K144:L144"/>
    <mergeCell ref="N144:O144"/>
    <mergeCell ref="Q144:R144"/>
    <mergeCell ref="B145:C145"/>
    <mergeCell ref="E145:F145"/>
    <mergeCell ref="H145:I145"/>
    <mergeCell ref="K145:L145"/>
    <mergeCell ref="N145:O145"/>
    <mergeCell ref="Q145:R145"/>
    <mergeCell ref="B146:C146"/>
    <mergeCell ref="E146:F146"/>
    <mergeCell ref="H146:I146"/>
    <mergeCell ref="K146:L146"/>
    <mergeCell ref="N146:O146"/>
    <mergeCell ref="Q146:R146"/>
    <mergeCell ref="B147:C147"/>
    <mergeCell ref="E147:F147"/>
    <mergeCell ref="H147:I147"/>
    <mergeCell ref="K147:L147"/>
    <mergeCell ref="N147:O147"/>
    <mergeCell ref="Q147:R147"/>
    <mergeCell ref="B148:C148"/>
    <mergeCell ref="E148:F148"/>
    <mergeCell ref="H148:I148"/>
    <mergeCell ref="K148:L148"/>
    <mergeCell ref="N148:O148"/>
    <mergeCell ref="Q148:R148"/>
    <mergeCell ref="B149:C149"/>
    <mergeCell ref="E149:F149"/>
    <mergeCell ref="H149:I149"/>
    <mergeCell ref="K149:L149"/>
    <mergeCell ref="N149:O149"/>
    <mergeCell ref="Q149:R149"/>
    <mergeCell ref="B150:C150"/>
    <mergeCell ref="E150:F150"/>
    <mergeCell ref="H150:I150"/>
    <mergeCell ref="K150:L150"/>
    <mergeCell ref="N150:O150"/>
    <mergeCell ref="Q150:R150"/>
    <mergeCell ref="B151:C151"/>
    <mergeCell ref="E151:F151"/>
    <mergeCell ref="H151:I151"/>
    <mergeCell ref="K151:L151"/>
    <mergeCell ref="N151:O151"/>
    <mergeCell ref="Q151:R151"/>
    <mergeCell ref="B153:C153"/>
    <mergeCell ref="E153:F153"/>
    <mergeCell ref="H153:I153"/>
    <mergeCell ref="K153:L153"/>
    <mergeCell ref="N153:O153"/>
    <mergeCell ref="Q153:R153"/>
    <mergeCell ref="B154:C154"/>
    <mergeCell ref="E154:F154"/>
    <mergeCell ref="H154:I154"/>
    <mergeCell ref="K154:L154"/>
    <mergeCell ref="N154:O154"/>
    <mergeCell ref="Q154:R154"/>
    <mergeCell ref="B155:C155"/>
    <mergeCell ref="E155:F155"/>
    <mergeCell ref="H155:I155"/>
    <mergeCell ref="K155:L155"/>
    <mergeCell ref="N155:O155"/>
    <mergeCell ref="Q155:R155"/>
    <mergeCell ref="B156:C156"/>
    <mergeCell ref="E156:F156"/>
    <mergeCell ref="H156:I156"/>
    <mergeCell ref="K156:L156"/>
    <mergeCell ref="N156:O156"/>
    <mergeCell ref="Q156:R156"/>
    <mergeCell ref="B157:C157"/>
    <mergeCell ref="E157:F157"/>
    <mergeCell ref="H157:I157"/>
    <mergeCell ref="K157:L157"/>
    <mergeCell ref="N157:O157"/>
    <mergeCell ref="Q157:R157"/>
    <mergeCell ref="B158:C158"/>
    <mergeCell ref="E158:F158"/>
    <mergeCell ref="H158:I158"/>
    <mergeCell ref="K158:L158"/>
    <mergeCell ref="N158:O158"/>
    <mergeCell ref="Q158:R158"/>
    <mergeCell ref="B159:C159"/>
    <mergeCell ref="E159:F159"/>
    <mergeCell ref="H159:I159"/>
    <mergeCell ref="K159:L159"/>
    <mergeCell ref="N159:O159"/>
    <mergeCell ref="Q159:R159"/>
    <mergeCell ref="B160:C160"/>
    <mergeCell ref="E160:F160"/>
    <mergeCell ref="H160:I160"/>
    <mergeCell ref="K160:L160"/>
    <mergeCell ref="N160:O160"/>
    <mergeCell ref="Q160:R160"/>
    <mergeCell ref="B161:C161"/>
    <mergeCell ref="E161:F161"/>
    <mergeCell ref="H161:I161"/>
    <mergeCell ref="K161:L161"/>
    <mergeCell ref="N161:O161"/>
    <mergeCell ref="Q161:R161"/>
    <mergeCell ref="B162:C162"/>
    <mergeCell ref="E162:F162"/>
    <mergeCell ref="H162:I162"/>
    <mergeCell ref="K162:L162"/>
    <mergeCell ref="N162:O162"/>
    <mergeCell ref="Q162:R162"/>
    <mergeCell ref="B163:C163"/>
    <mergeCell ref="E163:F163"/>
    <mergeCell ref="H163:I163"/>
    <mergeCell ref="K163:L163"/>
    <mergeCell ref="N163:O163"/>
    <mergeCell ref="Q163:R163"/>
    <mergeCell ref="B164:C164"/>
    <mergeCell ref="E164:F164"/>
    <mergeCell ref="H164:I164"/>
    <mergeCell ref="K164:L164"/>
    <mergeCell ref="N164:O164"/>
    <mergeCell ref="Q164:R164"/>
    <mergeCell ref="B165:C165"/>
    <mergeCell ref="E165:F165"/>
    <mergeCell ref="H165:I165"/>
    <mergeCell ref="K165:L165"/>
    <mergeCell ref="N165:O165"/>
    <mergeCell ref="Q165:R165"/>
    <mergeCell ref="B166:C166"/>
    <mergeCell ref="E166:F166"/>
    <mergeCell ref="H166:I166"/>
    <mergeCell ref="K166:L166"/>
    <mergeCell ref="N166:O166"/>
    <mergeCell ref="Q166:R166"/>
    <mergeCell ref="B167:C167"/>
    <mergeCell ref="E167:F167"/>
    <mergeCell ref="H167:I167"/>
    <mergeCell ref="K167:L167"/>
    <mergeCell ref="N167:O167"/>
    <mergeCell ref="Q167:R167"/>
    <mergeCell ref="B168:C168"/>
    <mergeCell ref="E168:F168"/>
    <mergeCell ref="H168:I168"/>
    <mergeCell ref="K168:L168"/>
    <mergeCell ref="N168:O168"/>
    <mergeCell ref="Q168:R168"/>
    <mergeCell ref="B169:C169"/>
    <mergeCell ref="E169:F169"/>
    <mergeCell ref="H169:I169"/>
    <mergeCell ref="K169:L169"/>
    <mergeCell ref="N169:O169"/>
    <mergeCell ref="Q169:R169"/>
    <mergeCell ref="B170:C170"/>
    <mergeCell ref="E170:F170"/>
    <mergeCell ref="H170:I170"/>
    <mergeCell ref="K170:L170"/>
    <mergeCell ref="N170:O170"/>
    <mergeCell ref="Q170:R170"/>
    <mergeCell ref="B172:C172"/>
    <mergeCell ref="E172:F172"/>
    <mergeCell ref="H172:I172"/>
    <mergeCell ref="K172:L172"/>
    <mergeCell ref="N172:O172"/>
    <mergeCell ref="Q172:R172"/>
    <mergeCell ref="B173:C173"/>
    <mergeCell ref="E173:F173"/>
    <mergeCell ref="H173:I173"/>
    <mergeCell ref="K173:L173"/>
    <mergeCell ref="N173:O173"/>
    <mergeCell ref="Q173:R173"/>
    <mergeCell ref="B174:C174"/>
    <mergeCell ref="E174:F174"/>
    <mergeCell ref="H174:I174"/>
    <mergeCell ref="K174:L174"/>
    <mergeCell ref="N174:O174"/>
    <mergeCell ref="Q174:R174"/>
    <mergeCell ref="B175:C175"/>
    <mergeCell ref="E175:F175"/>
    <mergeCell ref="H175:I175"/>
    <mergeCell ref="K175:L175"/>
    <mergeCell ref="N175:O175"/>
    <mergeCell ref="Q175:R175"/>
    <mergeCell ref="B176:C176"/>
    <mergeCell ref="E176:F176"/>
    <mergeCell ref="H176:I176"/>
    <mergeCell ref="K176:L176"/>
    <mergeCell ref="N176:O176"/>
    <mergeCell ref="Q176:R176"/>
    <mergeCell ref="B177:C177"/>
    <mergeCell ref="E177:F177"/>
    <mergeCell ref="H177:I177"/>
    <mergeCell ref="K177:L177"/>
    <mergeCell ref="N177:O177"/>
    <mergeCell ref="Q177:R177"/>
    <mergeCell ref="B178:C178"/>
    <mergeCell ref="E178:F178"/>
    <mergeCell ref="H178:I178"/>
    <mergeCell ref="K178:L178"/>
    <mergeCell ref="N178:O178"/>
    <mergeCell ref="Q178:R178"/>
    <mergeCell ref="B179:C179"/>
    <mergeCell ref="E179:F179"/>
    <mergeCell ref="H179:I179"/>
    <mergeCell ref="K179:L179"/>
    <mergeCell ref="N179:O179"/>
    <mergeCell ref="Q179:R179"/>
    <mergeCell ref="B180:C180"/>
    <mergeCell ref="E180:F180"/>
    <mergeCell ref="H180:I180"/>
    <mergeCell ref="K180:L180"/>
    <mergeCell ref="N180:O180"/>
    <mergeCell ref="Q180:R180"/>
    <mergeCell ref="B181:C181"/>
    <mergeCell ref="E181:F181"/>
    <mergeCell ref="H181:I181"/>
    <mergeCell ref="K181:L181"/>
    <mergeCell ref="N181:O181"/>
    <mergeCell ref="Q181:R181"/>
    <mergeCell ref="B182:C182"/>
    <mergeCell ref="E182:F182"/>
    <mergeCell ref="H182:I182"/>
    <mergeCell ref="K182:L182"/>
    <mergeCell ref="N182:O182"/>
    <mergeCell ref="Q182:R182"/>
    <mergeCell ref="B183:C183"/>
    <mergeCell ref="E183:F183"/>
    <mergeCell ref="H183:I183"/>
    <mergeCell ref="K183:L183"/>
    <mergeCell ref="N183:O183"/>
    <mergeCell ref="Q183:R183"/>
    <mergeCell ref="B184:C184"/>
    <mergeCell ref="E184:F184"/>
    <mergeCell ref="H184:I184"/>
    <mergeCell ref="K184:L184"/>
    <mergeCell ref="N184:O184"/>
    <mergeCell ref="Q184:R184"/>
    <mergeCell ref="B185:C185"/>
    <mergeCell ref="E185:F185"/>
    <mergeCell ref="H185:I185"/>
    <mergeCell ref="K185:L185"/>
    <mergeCell ref="N185:O185"/>
    <mergeCell ref="Q185:R185"/>
    <mergeCell ref="B186:C186"/>
    <mergeCell ref="E186:F186"/>
    <mergeCell ref="H186:I186"/>
    <mergeCell ref="K186:L186"/>
    <mergeCell ref="N186:O186"/>
    <mergeCell ref="Q186:R186"/>
    <mergeCell ref="B187:C187"/>
    <mergeCell ref="E187:F187"/>
    <mergeCell ref="H187:I187"/>
    <mergeCell ref="K187:L187"/>
    <mergeCell ref="N187:O187"/>
    <mergeCell ref="Q187:R187"/>
    <mergeCell ref="B188:C188"/>
    <mergeCell ref="E188:F188"/>
    <mergeCell ref="H188:I188"/>
    <mergeCell ref="K188:L188"/>
    <mergeCell ref="N188:O188"/>
    <mergeCell ref="Q188:R188"/>
    <mergeCell ref="B189:C189"/>
    <mergeCell ref="E189:F189"/>
    <mergeCell ref="H189:I189"/>
    <mergeCell ref="K189:L189"/>
    <mergeCell ref="N189:O189"/>
    <mergeCell ref="Q189:R18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D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1" width="8.67"/>
    <col collapsed="false" customWidth="true" hidden="false" outlineLevel="0" max="2" min="2" style="1" width="27"/>
    <col collapsed="false" customWidth="true" hidden="false" outlineLevel="0" max="3" min="3" style="1" width="8.67"/>
    <col collapsed="false" customWidth="true" hidden="false" outlineLevel="0" max="4" min="4" style="1" width="22.11"/>
    <col collapsed="false" customWidth="true" hidden="false" outlineLevel="0" max="26" min="5" style="1" width="8.67"/>
  </cols>
  <sheetData>
    <row r="1" customFormat="false" ht="15" hidden="false" customHeight="false" outlineLevel="0" collapsed="false">
      <c r="A1" s="43" t="s">
        <v>398</v>
      </c>
      <c r="B1" s="17" t="s">
        <v>399</v>
      </c>
      <c r="C1" s="43" t="s">
        <v>309</v>
      </c>
      <c r="D1" s="17" t="s">
        <v>400</v>
      </c>
    </row>
    <row r="2" customFormat="false" ht="15" hidden="false" customHeight="false" outlineLevel="0" collapsed="false">
      <c r="A2" s="43" t="s">
        <v>308</v>
      </c>
      <c r="B2" s="17" t="s">
        <v>401</v>
      </c>
      <c r="C2" s="43" t="s">
        <v>384</v>
      </c>
      <c r="D2" s="17" t="s">
        <v>402</v>
      </c>
    </row>
    <row r="3" customFormat="false" ht="15" hidden="false" customHeight="false" outlineLevel="0" collapsed="false">
      <c r="A3" s="43" t="s">
        <v>3</v>
      </c>
      <c r="B3" s="17" t="s">
        <v>403</v>
      </c>
      <c r="C3" s="43" t="s">
        <v>385</v>
      </c>
      <c r="D3" s="17" t="s">
        <v>310</v>
      </c>
    </row>
    <row r="4" customFormat="false" ht="15" hidden="false" customHeight="false" outlineLevel="0" collapsed="false">
      <c r="A4" s="43" t="s">
        <v>393</v>
      </c>
      <c r="B4" s="17" t="s">
        <v>404</v>
      </c>
      <c r="C4" s="43" t="s">
        <v>392</v>
      </c>
      <c r="D4" s="17" t="s">
        <v>405</v>
      </c>
    </row>
    <row r="5" customFormat="false" ht="15" hidden="false" customHeight="false" outlineLevel="0" collapsed="false">
      <c r="A5" s="43" t="s">
        <v>10</v>
      </c>
      <c r="B5" s="17" t="s">
        <v>406</v>
      </c>
      <c r="C5" s="43" t="s">
        <v>392</v>
      </c>
      <c r="D5" s="17" t="s">
        <v>405</v>
      </c>
    </row>
    <row r="6" customFormat="false" ht="15" hidden="false" customHeight="false" outlineLevel="0" collapsed="false">
      <c r="A6" s="43" t="s">
        <v>1</v>
      </c>
      <c r="B6" s="17" t="s">
        <v>407</v>
      </c>
      <c r="C6" s="43" t="s">
        <v>408</v>
      </c>
      <c r="D6" s="17" t="s">
        <v>409</v>
      </c>
    </row>
    <row r="7" customFormat="false" ht="15" hidden="false" customHeight="false" outlineLevel="0" collapsed="false">
      <c r="A7" s="43" t="s">
        <v>8</v>
      </c>
      <c r="B7" s="17" t="s">
        <v>410</v>
      </c>
      <c r="C7" s="43" t="s">
        <v>411</v>
      </c>
      <c r="D7" s="17" t="s">
        <v>412</v>
      </c>
    </row>
    <row r="8" customFormat="false" ht="15" hidden="false" customHeight="false" outlineLevel="0" collapsed="false">
      <c r="A8" s="43" t="s">
        <v>246</v>
      </c>
      <c r="B8" s="17" t="s">
        <v>413</v>
      </c>
      <c r="C8" s="43" t="s">
        <v>411</v>
      </c>
      <c r="D8" s="17" t="s">
        <v>412</v>
      </c>
    </row>
    <row r="9" customFormat="false" ht="15" hidden="false" customHeight="false" outlineLevel="0" collapsed="false">
      <c r="A9" s="43" t="s">
        <v>414</v>
      </c>
      <c r="B9" s="17" t="s">
        <v>415</v>
      </c>
      <c r="C9" s="43" t="s">
        <v>416</v>
      </c>
      <c r="D9" s="17" t="s">
        <v>417</v>
      </c>
    </row>
    <row r="10" customFormat="false" ht="15" hidden="false" customHeight="false" outlineLevel="0" collapsed="false">
      <c r="A10" s="43" t="s">
        <v>6</v>
      </c>
      <c r="B10" s="17" t="s">
        <v>418</v>
      </c>
      <c r="C10" s="43" t="s">
        <v>348</v>
      </c>
      <c r="D10" s="17" t="s">
        <v>419</v>
      </c>
    </row>
    <row r="11" customFormat="false" ht="15" hidden="false" customHeight="false" outlineLevel="0" collapsed="false">
      <c r="A11" s="43" t="s">
        <v>420</v>
      </c>
      <c r="B11" s="17" t="s">
        <v>103</v>
      </c>
      <c r="C11" s="43" t="s">
        <v>421</v>
      </c>
      <c r="D11" s="17" t="s">
        <v>312</v>
      </c>
    </row>
    <row r="12" customFormat="false" ht="15" hidden="false" customHeight="false" outlineLevel="0" collapsed="false">
      <c r="A12" s="43" t="s">
        <v>422</v>
      </c>
      <c r="B12" s="17" t="s">
        <v>423</v>
      </c>
      <c r="C12" s="43" t="s">
        <v>424</v>
      </c>
      <c r="D12" s="17" t="s">
        <v>425</v>
      </c>
    </row>
    <row r="13" customFormat="false" ht="15" hidden="false" customHeight="false" outlineLevel="0" collapsed="false">
      <c r="A13" s="43" t="s">
        <v>426</v>
      </c>
      <c r="B13" s="17" t="s">
        <v>427</v>
      </c>
      <c r="C13" s="43" t="s">
        <v>388</v>
      </c>
      <c r="D13" s="17" t="s">
        <v>428</v>
      </c>
    </row>
    <row r="14" customFormat="false" ht="15" hidden="false" customHeight="false" outlineLevel="0" collapsed="false">
      <c r="A14" s="43" t="s">
        <v>429</v>
      </c>
      <c r="B14" s="17" t="s">
        <v>430</v>
      </c>
      <c r="C14" s="43" t="s">
        <v>150</v>
      </c>
      <c r="D14" s="17" t="s">
        <v>431</v>
      </c>
    </row>
    <row r="15" customFormat="false" ht="15" hidden="false" customHeight="false" outlineLevel="0" collapsed="false">
      <c r="A15" s="43" t="s">
        <v>432</v>
      </c>
      <c r="B15" s="17" t="s">
        <v>433</v>
      </c>
      <c r="C15" s="43" t="s">
        <v>434</v>
      </c>
      <c r="D15" s="17" t="s">
        <v>435</v>
      </c>
    </row>
    <row r="16" customFormat="false" ht="15" hidden="false" customHeight="false" outlineLevel="0" collapsed="false">
      <c r="A16" s="43" t="s">
        <v>436</v>
      </c>
      <c r="B16" s="17" t="s">
        <v>437</v>
      </c>
      <c r="C16" s="43" t="s">
        <v>438</v>
      </c>
      <c r="D16" s="17" t="s">
        <v>439</v>
      </c>
    </row>
    <row r="17" customFormat="false" ht="15" hidden="false" customHeight="false" outlineLevel="0" collapsed="false">
      <c r="A17" s="43" t="s">
        <v>440</v>
      </c>
      <c r="B17" s="17" t="s">
        <v>124</v>
      </c>
      <c r="C17" s="43" t="s">
        <v>441</v>
      </c>
      <c r="D17" s="17" t="s">
        <v>442</v>
      </c>
    </row>
    <row r="18" customFormat="false" ht="15" hidden="false" customHeight="false" outlineLevel="0" collapsed="false">
      <c r="A18" s="43" t="s">
        <v>387</v>
      </c>
      <c r="B18" s="17" t="s">
        <v>443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2022-07-04T17:11:55Z</dcterms:created>
  <dc:creator>marcelo kamp</dc:creator>
  <dc:description/>
  <dc:language>pt-BR</dc:language>
  <cp:lastModifiedBy/>
  <dcterms:modified xsi:type="dcterms:W3CDTF">2026-03-23T13:29:37Z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