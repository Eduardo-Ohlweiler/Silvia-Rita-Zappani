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  <sheet name="Percentil_M" sheetId="2" state="visible" r:id="rId3"/>
    <sheet name="Percentil_F" sheetId="3" state="visible" r:id="rId4"/>
  </sheets>
  <definedNames>
    <definedName function="false" hidden="false" name="CLASSIFICAR" vbProcedure="false">IFERROR(IF(valor&lt;INDEX(intervalo,linha,1),"Muito abaixo do adequado",IF(valor&lt;INDEX(intervalo,linha,2),"Abaixo do adequado",IF(valor&lt;=INDEX(intervalo,linha,4),"Adequado",IF(valor&lt;=INDEX(intervalo,linha,5),"Risco de sobrepeso","Sobrepeso")))),"Sem dados")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<sst xmlns="http://schemas.openxmlformats.org/spreadsheetml/2006/main" count="218" uniqueCount="73">
  <si>
    <t xml:space="preserve">Dados</t>
  </si>
  <si>
    <t xml:space="preserve">Dieta Prescrita</t>
  </si>
  <si>
    <t xml:space="preserve">Fórmula</t>
  </si>
  <si>
    <t xml:space="preserve">Kcal (100ml)</t>
  </si>
  <si>
    <t xml:space="preserve">Prot (100ml)</t>
  </si>
  <si>
    <t xml:space="preserve">Sexo</t>
  </si>
  <si>
    <t xml:space="preserve">F</t>
  </si>
  <si>
    <t xml:space="preserve">NAN 2</t>
  </si>
  <si>
    <t xml:space="preserve">Idade (meses)</t>
  </si>
  <si>
    <t xml:space="preserve">Volume</t>
  </si>
  <si>
    <t xml:space="preserve">NAN 1</t>
  </si>
  <si>
    <t xml:space="preserve">Peso (Kg)</t>
  </si>
  <si>
    <t xml:space="preserve">Frequência </t>
  </si>
  <si>
    <t xml:space="preserve">Estatura (cm)</t>
  </si>
  <si>
    <t xml:space="preserve">Quantidade total de vezes</t>
  </si>
  <si>
    <t xml:space="preserve">NAN SL</t>
  </si>
  <si>
    <t xml:space="preserve">Volume total</t>
  </si>
  <si>
    <t xml:space="preserve">NEOCATE LCD</t>
  </si>
  <si>
    <t xml:space="preserve">Estado Nutricional</t>
  </si>
  <si>
    <t xml:space="preserve">Calorias totais</t>
  </si>
  <si>
    <t xml:space="preserve">NEOCATE ADV</t>
  </si>
  <si>
    <t xml:space="preserve">Peso para a idade</t>
  </si>
  <si>
    <t xml:space="preserve">% Calorico atingido</t>
  </si>
  <si>
    <t xml:space="preserve">FORTINI</t>
  </si>
  <si>
    <t xml:space="preserve">Estatura para a idade</t>
  </si>
  <si>
    <t xml:space="preserve">Proteína total</t>
  </si>
  <si>
    <t xml:space="preserve">INFATRINE</t>
  </si>
  <si>
    <t xml:space="preserve">IMC </t>
  </si>
  <si>
    <t xml:space="preserve">% Proteico atingido</t>
  </si>
  <si>
    <t xml:space="preserve">PREGOMIN</t>
  </si>
  <si>
    <t xml:space="preserve">IMC para a idade</t>
  </si>
  <si>
    <t xml:space="preserve">NESTOGENO 1</t>
  </si>
  <si>
    <t xml:space="preserve">Necessidades Nutricionais</t>
  </si>
  <si>
    <t xml:space="preserve">NESTOGENO 2</t>
  </si>
  <si>
    <t xml:space="preserve">VET</t>
  </si>
  <si>
    <t xml:space="preserve">Proteína</t>
  </si>
  <si>
    <t xml:space="preserve">0 a 3 meses</t>
  </si>
  <si>
    <t xml:space="preserve">[89*peso(kg) -100]+175</t>
  </si>
  <si>
    <t xml:space="preserve">4 a 6 meses</t>
  </si>
  <si>
    <t xml:space="preserve">[89*peso(kg)-100]+56</t>
  </si>
  <si>
    <t xml:space="preserve">7 a 12 meses</t>
  </si>
  <si>
    <t xml:space="preserve">[89*peso(kg)-100]+22</t>
  </si>
  <si>
    <t xml:space="preserve">13 a 35 meses</t>
  </si>
  <si>
    <t xml:space="preserve">[89*peso(kg)-100]+20</t>
  </si>
  <si>
    <t xml:space="preserve">DRIS, 2002</t>
  </si>
  <si>
    <t xml:space="preserve">0 a 6 meses</t>
  </si>
  <si>
    <t xml:space="preserve">13 a 36 meses</t>
  </si>
  <si>
    <t xml:space="preserve">4 a 8 anos</t>
  </si>
  <si>
    <t xml:space="preserve">9 a 13 anos</t>
  </si>
  <si>
    <t xml:space="preserve">14 a 18 anos (fem)</t>
  </si>
  <si>
    <t xml:space="preserve">14 a 18 anos (mas)</t>
  </si>
  <si>
    <t xml:space="preserve">Instruções</t>
  </si>
  <si>
    <t xml:space="preserve">1 - Digite os dados da criança no bloco verde: sexo (M/F), idade (em meses), peso (em Kg) e estatura (em cm).</t>
  </si>
  <si>
    <t xml:space="preserve">Automaticamente a planilha irá fornecer o estado nutricional pela OMS e as necessidades nutricionais pelas DRIS, nos blocos abaixo.</t>
  </si>
  <si>
    <t xml:space="preserve">2 - Digite a fórmula láctea, o volume (em ml) e a frequência utilizada no campo roxo.</t>
  </si>
  <si>
    <t xml:space="preserve">Automaticamente a planilha irá fornecer a quantidade total de vezes, o volume total administrado, as calorias totais as proteínas totais, o % calórico e proteico atingido.</t>
  </si>
  <si>
    <t xml:space="preserve">3 - O VET pode ser calculado automaticamente para crianças até 35 meses. A proteína pode ser calculada para crianças até 36 meses. O estado nutricional pode ser calculado para crianças até 60 meses.</t>
  </si>
  <si>
    <t xml:space="preserve">(Peso) P3</t>
  </si>
  <si>
    <t xml:space="preserve">(Peso) P15</t>
  </si>
  <si>
    <t xml:space="preserve">(Peso) P50</t>
  </si>
  <si>
    <t xml:space="preserve">(Peso) P85</t>
  </si>
  <si>
    <t xml:space="preserve">(Peso) P97</t>
  </si>
  <si>
    <t xml:space="preserve">(Estatura) P3</t>
  </si>
  <si>
    <t xml:space="preserve">(Estatura) P15</t>
  </si>
  <si>
    <t xml:space="preserve">(Estatura) P50</t>
  </si>
  <si>
    <t xml:space="preserve">(Estatura) P85</t>
  </si>
  <si>
    <t xml:space="preserve">(Estatura) P97</t>
  </si>
  <si>
    <t xml:space="preserve">(IMC) P3</t>
  </si>
  <si>
    <t xml:space="preserve">(IMC) P15</t>
  </si>
  <si>
    <t xml:space="preserve">(IMC) P50</t>
  </si>
  <si>
    <t xml:space="preserve">(IMC) P85</t>
  </si>
  <si>
    <t xml:space="preserve">(IMC) P97</t>
  </si>
  <si>
    <t xml:space="preserve">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</si>
</sst>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2F0D9"/>
        <bgColor rgb="FFDDE8CB"/>
      </patternFill>
    </fill>
    <fill>
      <patternFill patternType="solid">
        <fgColor rgb="FFB4C7E7"/>
        <bgColor rgb="FF99CCFF"/>
      </patternFill>
    </fill>
    <fill>
      <patternFill patternType="solid">
        <fgColor rgb="FFFFF5CE"/>
        <bgColor rgb="FFFBE5D6"/>
      </patternFill>
    </fill>
    <fill>
      <patternFill patternType="solid">
        <fgColor rgb="FFDEE6EF"/>
        <bgColor rgb="FFDAE3F3"/>
      </patternFill>
    </fill>
    <fill>
      <patternFill patternType="solid">
        <fgColor rgb="FFF4B183"/>
        <bgColor rgb="FFFFD966"/>
      </patternFill>
    </fill>
    <fill>
      <patternFill patternType="solid">
        <fgColor rgb="FFFFD966"/>
        <bgColor rgb="FFFFDBB6"/>
      </patternFill>
    </fill>
    <fill>
      <patternFill patternType="solid">
        <fgColor rgb="FFFFDBB6"/>
        <bgColor rgb="FFFBE5D6"/>
      </patternFill>
    </fill>
    <fill>
      <patternFill patternType="solid">
        <fgColor rgb="FFDDE8CB"/>
        <bgColor rgb="FFE2F0D9"/>
      </patternFill>
    </fill>
    <fill>
      <patternFill patternType="solid">
        <fgColor rgb="FFEEEEEE"/>
        <bgColor rgb="FFE2F0D9"/>
      </patternFill>
    </fill>
    <fill>
      <patternFill patternType="solid">
        <fgColor rgb="FFDAE3F3"/>
        <bgColor rgb="FFDEE6EF"/>
      </patternFill>
    </fill>
    <fill>
      <patternFill patternType="solid">
        <fgColor rgb="FFFBE5D6"/>
        <bgColor rgb="FFEEEEE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ta 2" xfId="21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CB"/>
      <rgbColor rgb="FFE2F0D9"/>
      <rgbColor rgb="FFFBE5D6"/>
      <rgbColor rgb="FF99CCFF"/>
      <rgbColor rgb="FFF4B183"/>
      <rgbColor rgb="FFCC99FF"/>
      <rgbColor rgb="FFFFDBB6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10</xdr:col>
      <xdr:colOff>629280</xdr:colOff>
      <xdr:row>12</xdr:row>
      <xdr:rowOff>114120</xdr:rowOff>
    </xdr:from>
    <xdr:to>
      <xdr:col>11</xdr:col>
      <xdr:colOff>486360</xdr:colOff>
      <xdr:row>24</xdr:row>
      <xdr:rowOff>18720</xdr:rowOff>
    </xdr:to>
    <xdr:sp>
      <xdr:nvSpPr>
        <xdr:cNvPr id="0" name="Forma 1"/>
        <xdr:cNvSpPr/>
      </xdr:nvSpPr>
      <xdr:spPr>
        <a:xfrm>
          <a:off x="9984600" y="2286000"/>
          <a:ext cx="562680" cy="2066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cubicBezTo>
                <a:pt x="5400" y="0"/>
                <a:pt x="10800" y="900"/>
                <a:pt x="10800" y="1800"/>
              </a:cubicBezTo>
              <a:lnTo>
                <a:pt x="10800" y="9000"/>
              </a:lnTo>
              <a:cubicBezTo>
                <a:pt x="10800" y="9900"/>
                <a:pt x="16200" y="10800"/>
                <a:pt x="21600" y="10800"/>
              </a:cubicBezTo>
              <a:cubicBezTo>
                <a:pt x="16200" y="10800"/>
                <a:pt x="10800" y="11700"/>
                <a:pt x="10800" y="12600"/>
              </a:cubicBezTo>
              <a:lnTo>
                <a:pt x="10800" y="19800"/>
              </a:lnTo>
              <a:cubicBezTo>
                <a:pt x="10800" y="20700"/>
                <a:pt x="5400" y="21600"/>
                <a:pt x="0" y="21600"/>
              </a:cubicBezTo>
            </a:path>
          </a:pathLst>
        </a:cu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4.88"/>
    <col collapsed="false" customWidth="true" hidden="false" outlineLevel="0" max="4" min="4" style="1" width="22.33"/>
    <col collapsed="false" customWidth="true" hidden="false" outlineLevel="0" max="5" min="5" style="1" width="16.44"/>
    <col collapsed="false" customWidth="true" hidden="false" outlineLevel="0" max="11" min="11" style="1" width="10"/>
    <col collapsed="false" customWidth="true" hidden="false" outlineLevel="0" max="13" min="13" style="1" width="15"/>
    <col collapsed="false" customWidth="true" hidden="false" outlineLevel="0" max="14" min="14" style="1" width="13.22"/>
    <col collapsed="false" customWidth="true" hidden="false" outlineLevel="0" max="15" min="15" style="1" width="12.22"/>
    <col collapsed="false" customWidth="true" hidden="false" outlineLevel="0" max="17" min="17" style="1" width="13.79"/>
  </cols>
  <sheetData>
    <row r="1" customFormat="false" ht="14.25" hidden="false" customHeight="true" outlineLevel="0" collapsed="false">
      <c r="A1" s="2" t="s">
        <v>0</v>
      </c>
      <c r="B1" s="3"/>
      <c r="C1" s="4"/>
      <c r="D1" s="5" t="s">
        <v>1</v>
      </c>
      <c r="E1" s="6"/>
      <c r="M1" s="7" t="s">
        <v>2</v>
      </c>
      <c r="N1" s="7" t="s">
        <v>3</v>
      </c>
      <c r="O1" s="7" t="s">
        <v>4</v>
      </c>
      <c r="Q1" s="8"/>
      <c r="R1" s="1"/>
    </row>
    <row r="2" customFormat="false" ht="14.25" hidden="false" customHeight="true" outlineLevel="0" collapsed="false">
      <c r="A2" s="9" t="s">
        <v>5</v>
      </c>
      <c r="B2" s="10" t="s">
        <v>6</v>
      </c>
      <c r="C2" s="4"/>
      <c r="D2" s="6" t="s">
        <v>2</v>
      </c>
      <c r="E2" s="11" t="s">
        <v>7</v>
      </c>
      <c r="M2" s="12"/>
      <c r="N2" s="12"/>
      <c r="O2" s="12"/>
      <c r="Q2" s="8"/>
    </row>
    <row r="3" customFormat="false" ht="14.25" hidden="false" customHeight="true" outlineLevel="0" collapsed="false">
      <c r="A3" s="9" t="s">
        <v>8</v>
      </c>
      <c r="B3" s="10" t="n">
        <v>8</v>
      </c>
      <c r="C3" s="4"/>
      <c r="D3" s="6" t="s">
        <v>9</v>
      </c>
      <c r="E3" s="11" t="n">
        <v>110</v>
      </c>
      <c r="M3" s="12" t="s">
        <v>10</v>
      </c>
      <c r="N3" s="12" t="n">
        <v>74.2</v>
      </c>
      <c r="O3" s="12" t="n">
        <v>1.38</v>
      </c>
      <c r="Q3" s="8"/>
    </row>
    <row r="4" customFormat="false" ht="14.25" hidden="false" customHeight="true" outlineLevel="0" collapsed="false">
      <c r="A4" s="9" t="s">
        <v>11</v>
      </c>
      <c r="B4" s="10" t="n">
        <v>9</v>
      </c>
      <c r="C4" s="4"/>
      <c r="D4" s="6" t="s">
        <v>12</v>
      </c>
      <c r="E4" s="11" t="n">
        <v>3</v>
      </c>
      <c r="M4" s="12" t="s">
        <v>7</v>
      </c>
      <c r="N4" s="12" t="n">
        <v>73.8</v>
      </c>
      <c r="O4" s="12" t="n">
        <v>1.65</v>
      </c>
    </row>
    <row r="5" customFormat="false" ht="14.25" hidden="false" customHeight="true" outlineLevel="0" collapsed="false">
      <c r="A5" s="9" t="s">
        <v>13</v>
      </c>
      <c r="B5" s="10"/>
      <c r="C5" s="4"/>
      <c r="D5" s="13" t="s">
        <v>14</v>
      </c>
      <c r="E5" s="14" t="n">
        <f aca="false">24/E4</f>
        <v>8</v>
      </c>
      <c r="M5" s="12" t="s">
        <v>15</v>
      </c>
      <c r="N5" s="12" t="n">
        <v>74.4</v>
      </c>
      <c r="O5" s="12" t="n">
        <v>1.61</v>
      </c>
    </row>
    <row r="6" customFormat="false" ht="14.25" hidden="false" customHeight="true" outlineLevel="0" collapsed="false">
      <c r="A6" s="12"/>
      <c r="B6" s="15"/>
      <c r="C6" s="4"/>
      <c r="D6" s="13" t="s">
        <v>16</v>
      </c>
      <c r="E6" s="14" t="n">
        <f aca="false">E5*E3</f>
        <v>880</v>
      </c>
      <c r="M6" s="12" t="s">
        <v>17</v>
      </c>
      <c r="N6" s="12" t="n">
        <v>74.8</v>
      </c>
      <c r="O6" s="12" t="n">
        <v>2.13</v>
      </c>
    </row>
    <row r="7" customFormat="false" ht="14.25" hidden="false" customHeight="true" outlineLevel="0" collapsed="false">
      <c r="A7" s="16" t="s">
        <v>18</v>
      </c>
      <c r="B7" s="17"/>
      <c r="C7" s="4"/>
      <c r="D7" s="13" t="s">
        <v>19</v>
      </c>
      <c r="E7" s="14" t="n">
        <f aca="false">IFERROR(VLOOKUP(E2,M3:O12,2,FALSE()) * E6 / 100, "")</f>
        <v>649.44</v>
      </c>
      <c r="M7" s="12" t="s">
        <v>20</v>
      </c>
      <c r="N7" s="12" t="n">
        <v>100</v>
      </c>
      <c r="O7" s="12" t="n">
        <v>2.8</v>
      </c>
    </row>
    <row r="8" customFormat="false" ht="14.25" hidden="false" customHeight="true" outlineLevel="0" collapsed="false">
      <c r="A8" s="18" t="s">
        <v>21</v>
      </c>
      <c r="B8" s="19" t="str">
        <f aca="false">IFERROR(IF(B2="M",
CHOOSE(1+
(B4&gt;=INDEX(Percentil_M!$D:$D,MATCH(B3,Percentil_M!$B:$B,0)))+
(B4&gt;INDEX(Percentil_M!$F:$F,MATCH(B3,Percentil_M!$B:$B,0))),
"Baixo peso","Peso adequado","Acima do peso"),
CHOOSE(1+
(B4&gt;=INDEX(Percentil_F!$D:$D,MATCH(B3,Percentil_F!$B:$B,0)))+
(B4&gt;INDEX(Percentil_F!$F:$F,MATCH(B3,Percentil_F!$B:$B,0))),
"Baixo peso","Peso adequado","Acima do peso")),
"")</f>
        <v>Peso adequado</v>
      </c>
      <c r="C8" s="4"/>
      <c r="D8" s="13" t="s">
        <v>22</v>
      </c>
      <c r="E8" s="20" t="n">
        <f aca="false">IFERROR((E7/B13)*100, "")</f>
        <v>89.8257261410788</v>
      </c>
      <c r="M8" s="12" t="s">
        <v>23</v>
      </c>
      <c r="N8" s="12" t="n">
        <v>150</v>
      </c>
      <c r="O8" s="12" t="n">
        <v>3.34</v>
      </c>
    </row>
    <row r="9" customFormat="false" ht="14.25" hidden="false" customHeight="true" outlineLevel="0" collapsed="false">
      <c r="A9" s="18" t="s">
        <v>24</v>
      </c>
      <c r="B9" s="19" t="str">
        <f aca="false">IFERROR(
IF(B2="M",
  CHOOSE(
    1 + (B5&gt;=INDEX(Percentil_M!$I:$I,MATCH(B3,Percentil_M!$B:$B,0))) + (B5&gt;INDEX(Percentil_M!$K:$K,MATCH(B3,Percentil_M!$B:$B,0))),
    "Baixa estatura","Adequada","Estatura alta"),
  CHOOSE(
    1 + (B5&gt;=INDEX(Percentil_F!$I:$I,MATCH(B3,Percentil_F!$B:$B,0))) + (B5&gt;INDEX(Percentil_F!$K:$K,MATCH(B3,Percentil_F!$B:$B,0))),
    "Baixa estatura","Adequada","Estatura alta")
),
"")</f>
        <v>Baixa estatura</v>
      </c>
      <c r="C9" s="4"/>
      <c r="D9" s="13" t="s">
        <v>25</v>
      </c>
      <c r="E9" s="20" t="n">
        <f aca="false">IFERROR(VLOOKUP(E2,M3:O12,3,FALSE()) * E6 / 100, "")</f>
        <v>14.52</v>
      </c>
      <c r="M9" s="12" t="s">
        <v>26</v>
      </c>
      <c r="N9" s="12" t="n">
        <v>100.8</v>
      </c>
      <c r="O9" s="12" t="n">
        <v>2.6</v>
      </c>
    </row>
    <row r="10" customFormat="false" ht="14.25" hidden="false" customHeight="true" outlineLevel="0" collapsed="false">
      <c r="A10" s="18" t="s">
        <v>27</v>
      </c>
      <c r="B10" s="21" t="str">
        <f aca="false">IF(B5&gt;0,B4/((B5/100)^2),"")</f>
        <v/>
      </c>
      <c r="C10" s="4"/>
      <c r="D10" s="13" t="s">
        <v>28</v>
      </c>
      <c r="E10" s="20" t="n">
        <f aca="false">IFERROR((E9/B14)*100, "")</f>
        <v>132</v>
      </c>
      <c r="M10" s="12" t="s">
        <v>29</v>
      </c>
      <c r="N10" s="12" t="n">
        <v>66</v>
      </c>
      <c r="O10" s="12" t="n">
        <v>1.8</v>
      </c>
    </row>
    <row r="11" customFormat="false" ht="14.25" hidden="false" customHeight="true" outlineLevel="0" collapsed="false">
      <c r="A11" s="18" t="s">
        <v>30</v>
      </c>
      <c r="B11" s="17" t="str">
        <f aca="false">IFERROR(
IF(B2="M",
  CHOOSE(
    1 + (B10&gt;=INDEX(Percentil_M!$N:$N,MATCH(B3,Percentil_M!$B:$B,0))) + (B10&gt;INDEX(Percentil_M!$P:$P,MATCH(B3,Percentil_M!$B:$B,0))),
    "Magreza","IMC adequado","Sobrepeso"),
  CHOOSE(
    1 + (B10&gt;=INDEX(Percentil_F!$N:$N,MATCH(B3,Percentil_F!$B:$B,0))) + (B10&gt;INDEX(Percentil_F!$P:$P,MATCH(B3,Percentil_F!$B:$B,0))),
    "Magreza","IMC adequado","Sobrepeso")
),
"")</f>
        <v>Sobrepeso</v>
      </c>
      <c r="C11" s="4"/>
      <c r="M11" s="12" t="s">
        <v>31</v>
      </c>
      <c r="N11" s="12" t="n">
        <v>67</v>
      </c>
      <c r="O11" s="12" t="n">
        <v>1.4</v>
      </c>
    </row>
    <row r="12" customFormat="false" ht="14.25" hidden="false" customHeight="true" outlineLevel="0" collapsed="false">
      <c r="A12" s="22" t="s">
        <v>32</v>
      </c>
      <c r="B12" s="23"/>
      <c r="C12" s="4"/>
      <c r="M12" s="12" t="s">
        <v>33</v>
      </c>
      <c r="N12" s="12" t="n">
        <v>67</v>
      </c>
      <c r="O12" s="12" t="n">
        <v>1.5</v>
      </c>
    </row>
    <row r="13" customFormat="false" ht="14.25" hidden="false" customHeight="true" outlineLevel="0" collapsed="false">
      <c r="A13" s="24" t="s">
        <v>34</v>
      </c>
      <c r="B13" s="23" t="n">
        <f aca="false">IF(B3&lt;=3,(89*B4-100)+175,
IF(B3&lt;=6,(89*B4-100)+56,
IF(B3&lt;=12,(89*B4-100)+22,
IF(B3&lt;=35,(89*B4-100)+20,""))))</f>
        <v>723</v>
      </c>
      <c r="C13" s="4"/>
    </row>
    <row r="14" customFormat="false" ht="14.25" hidden="false" customHeight="true" outlineLevel="0" collapsed="false">
      <c r="A14" s="24" t="s">
        <v>35</v>
      </c>
      <c r="B14" s="23" t="n">
        <f aca="false">IF(AND(B3&gt;=0,B3&lt;=6),$N$21,  IF(AND(B3&gt;=7,B3&lt;=12),$N$22,  IF(AND(B3&gt;=13,B3&lt;=36),$N$23,"")))</f>
        <v>11</v>
      </c>
      <c r="C14" s="4"/>
      <c r="M14" s="25" t="s">
        <v>34</v>
      </c>
      <c r="N14" s="26"/>
      <c r="O14" s="27"/>
    </row>
    <row r="15" customFormat="false" ht="14.25" hidden="false" customHeight="true" outlineLevel="0" collapsed="false">
      <c r="B15" s="4"/>
      <c r="M15" s="28" t="s">
        <v>36</v>
      </c>
      <c r="N15" s="1" t="s">
        <v>37</v>
      </c>
      <c r="O15" s="29"/>
    </row>
    <row r="16" customFormat="false" ht="14.25" hidden="false" customHeight="true" outlineLevel="0" collapsed="false">
      <c r="M16" s="28" t="s">
        <v>38</v>
      </c>
      <c r="N16" s="1" t="s">
        <v>39</v>
      </c>
      <c r="O16" s="29"/>
    </row>
    <row r="17" customFormat="false" ht="14.25" hidden="false" customHeight="true" outlineLevel="0" collapsed="false">
      <c r="M17" s="28" t="s">
        <v>40</v>
      </c>
      <c r="N17" s="1" t="s">
        <v>41</v>
      </c>
      <c r="O17" s="29"/>
    </row>
    <row r="18" customFormat="false" ht="14.25" hidden="false" customHeight="true" outlineLevel="0" collapsed="false">
      <c r="M18" s="30" t="s">
        <v>42</v>
      </c>
      <c r="N18" s="31" t="s">
        <v>43</v>
      </c>
      <c r="O18" s="32"/>
    </row>
    <row r="19" customFormat="false" ht="13.5" hidden="false" customHeight="true" outlineLevel="0" collapsed="false">
      <c r="K19" s="33" t="s">
        <v>44</v>
      </c>
      <c r="L19" s="33"/>
    </row>
    <row r="20" customFormat="false" ht="14.25" hidden="false" customHeight="true" outlineLevel="0" collapsed="false">
      <c r="M20" s="34" t="s">
        <v>35</v>
      </c>
      <c r="N20" s="35"/>
    </row>
    <row r="21" customFormat="false" ht="14.25" hidden="false" customHeight="true" outlineLevel="0" collapsed="false">
      <c r="M21" s="12" t="s">
        <v>45</v>
      </c>
      <c r="N21" s="12" t="n">
        <v>9.1</v>
      </c>
    </row>
    <row r="22" customFormat="false" ht="14.25" hidden="false" customHeight="true" outlineLevel="0" collapsed="false">
      <c r="M22" s="12" t="s">
        <v>40</v>
      </c>
      <c r="N22" s="12" t="n">
        <v>11</v>
      </c>
    </row>
    <row r="23" customFormat="false" ht="14.25" hidden="false" customHeight="true" outlineLevel="0" collapsed="false">
      <c r="M23" s="12" t="s">
        <v>46</v>
      </c>
      <c r="N23" s="12" t="n">
        <v>13</v>
      </c>
    </row>
    <row r="24" customFormat="false" ht="14.25" hidden="false" customHeight="true" outlineLevel="0" collapsed="false">
      <c r="M24" s="12" t="s">
        <v>47</v>
      </c>
      <c r="N24" s="12" t="n">
        <v>19</v>
      </c>
    </row>
    <row r="25" customFormat="false" ht="14.25" hidden="false" customHeight="true" outlineLevel="0" collapsed="false">
      <c r="M25" s="12" t="s">
        <v>48</v>
      </c>
      <c r="N25" s="12" t="n">
        <v>34</v>
      </c>
    </row>
    <row r="26" customFormat="false" ht="14.25" hidden="false" customHeight="true" outlineLevel="0" collapsed="false">
      <c r="M26" s="12" t="s">
        <v>49</v>
      </c>
      <c r="N26" s="12" t="n">
        <v>46</v>
      </c>
    </row>
    <row r="27" customFormat="false" ht="14.25" hidden="false" customHeight="true" outlineLevel="0" collapsed="false">
      <c r="M27" s="12" t="s">
        <v>50</v>
      </c>
      <c r="N27" s="12" t="n">
        <v>52</v>
      </c>
    </row>
    <row r="29" customFormat="false" ht="15" hidden="false" customHeight="true" outlineLevel="0" collapsed="false">
      <c r="A29" s="36" t="s">
        <v>51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customFormat="false" ht="13.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customFormat="false" ht="13.5" hidden="false" customHeight="true" outlineLevel="0" collapsed="false">
      <c r="A31" s="37" t="s">
        <v>52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customFormat="false" ht="13.5" hidden="false" customHeight="true" outlineLevel="0" collapsed="false">
      <c r="A32" s="37" t="s">
        <v>53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customFormat="false" ht="13.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customFormat="false" ht="13.5" hidden="false" customHeight="true" outlineLevel="0" collapsed="false">
      <c r="A34" s="37" t="s">
        <v>54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customFormat="false" ht="13.5" hidden="false" customHeight="true" outlineLevel="0" collapsed="false">
      <c r="A35" s="37" t="s">
        <v>55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customFormat="false" ht="13.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</row>
    <row r="37" customFormat="false" ht="13.5" hidden="false" customHeight="true" outlineLevel="0" collapsed="false">
      <c r="A37" s="37" t="s">
        <v>56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</sheetData>
  <sheetProtection sheet="true" password="c4c9" objects="true" scenarios="true"/>
  <mergeCells count="10">
    <mergeCell ref="K19:L19"/>
    <mergeCell ref="A29:N29"/>
    <mergeCell ref="A30:N30"/>
    <mergeCell ref="A31:N31"/>
    <mergeCell ref="A32:N32"/>
    <mergeCell ref="A33:N33"/>
    <mergeCell ref="A34:N34"/>
    <mergeCell ref="A35:N35"/>
    <mergeCell ref="A36:N36"/>
    <mergeCell ref="A37:N3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defaultColWidth="12.0390625" defaultRowHeight="14.25" zeroHeight="false" outlineLevelRow="0" outlineLevelCol="0"/>
  <cols>
    <col collapsed="false" customWidth="true" hidden="false" outlineLevel="0" max="13" min="2" style="1" width="14.81"/>
    <col collapsed="false" customWidth="true" hidden="false" outlineLevel="0" max="14" min="14" style="1" width="16.56"/>
    <col collapsed="false" customWidth="true" hidden="false" outlineLevel="0" max="15" min="15" style="1" width="14.81"/>
    <col collapsed="false" customWidth="true" hidden="false" outlineLevel="0" max="19" min="19" style="1" width="12.44"/>
    <col collapsed="false" customWidth="true" hidden="false" outlineLevel="0" max="20" min="20" style="1" width="12.89"/>
    <col collapsed="false" customWidth="true" hidden="false" outlineLevel="0" max="21" min="21" style="1" width="13.02"/>
    <col collapsed="false" customWidth="true" hidden="false" outlineLevel="0" max="22" min="22" style="1" width="12.89"/>
    <col collapsed="false" customWidth="true" hidden="false" outlineLevel="0" max="23" min="23" style="1" width="13.1"/>
  </cols>
  <sheetData>
    <row r="1" customFormat="false" ht="13.5" hidden="false" customHeight="true" outlineLevel="0" collapsed="false">
      <c r="A1" s="38" t="s">
        <v>5</v>
      </c>
      <c r="B1" s="39" t="s">
        <v>8</v>
      </c>
      <c r="C1" s="39" t="s">
        <v>57</v>
      </c>
      <c r="D1" s="39" t="s">
        <v>58</v>
      </c>
      <c r="E1" s="39" t="s">
        <v>59</v>
      </c>
      <c r="F1" s="39" t="s">
        <v>60</v>
      </c>
      <c r="G1" s="39" t="s">
        <v>61</v>
      </c>
      <c r="H1" s="39" t="s">
        <v>62</v>
      </c>
      <c r="I1" s="39" t="s">
        <v>63</v>
      </c>
      <c r="J1" s="39" t="s">
        <v>64</v>
      </c>
      <c r="K1" s="39" t="s">
        <v>65</v>
      </c>
      <c r="L1" s="39" t="s">
        <v>66</v>
      </c>
      <c r="M1" s="39" t="s">
        <v>67</v>
      </c>
      <c r="N1" s="39" t="s">
        <v>68</v>
      </c>
      <c r="O1" s="39" t="s">
        <v>69</v>
      </c>
      <c r="P1" s="39" t="s">
        <v>70</v>
      </c>
      <c r="Q1" s="39" t="s">
        <v>71</v>
      </c>
    </row>
    <row r="2" customFormat="false" ht="13.5" hidden="false" customHeight="true" outlineLevel="0" collapsed="false">
      <c r="A2" s="40" t="s">
        <v>72</v>
      </c>
      <c r="B2" s="41" t="n">
        <v>0</v>
      </c>
      <c r="C2" s="42" t="n">
        <v>2.5</v>
      </c>
      <c r="D2" s="42" t="n">
        <v>2.9</v>
      </c>
      <c r="E2" s="42" t="n">
        <v>3.3</v>
      </c>
      <c r="F2" s="42" t="n">
        <v>3.9</v>
      </c>
      <c r="G2" s="42" t="n">
        <v>4.3</v>
      </c>
      <c r="H2" s="42" t="n">
        <v>46.3</v>
      </c>
      <c r="I2" s="42" t="n">
        <v>47.9</v>
      </c>
      <c r="J2" s="42" t="n">
        <v>49.9</v>
      </c>
      <c r="K2" s="42" t="n">
        <v>51.8</v>
      </c>
      <c r="L2" s="42" t="n">
        <v>53.4</v>
      </c>
      <c r="M2" s="1" t="n">
        <v>11.3</v>
      </c>
      <c r="N2" s="1" t="n">
        <v>12.2</v>
      </c>
      <c r="O2" s="1" t="n">
        <v>13.4</v>
      </c>
      <c r="P2" s="1" t="n">
        <v>14.8</v>
      </c>
      <c r="Q2" s="1" t="n">
        <v>16.1</v>
      </c>
    </row>
    <row r="3" customFormat="false" ht="13.5" hidden="false" customHeight="true" outlineLevel="0" collapsed="false">
      <c r="A3" s="40" t="s">
        <v>72</v>
      </c>
      <c r="B3" s="41" t="n">
        <v>1</v>
      </c>
      <c r="C3" s="42" t="n">
        <v>3.4</v>
      </c>
      <c r="D3" s="42" t="n">
        <v>3.9</v>
      </c>
      <c r="E3" s="42" t="n">
        <v>4.5</v>
      </c>
      <c r="F3" s="42" t="n">
        <v>5.1</v>
      </c>
      <c r="G3" s="42" t="n">
        <v>5.7</v>
      </c>
      <c r="H3" s="42" t="n">
        <v>51.1</v>
      </c>
      <c r="I3" s="42" t="n">
        <v>52.7</v>
      </c>
      <c r="J3" s="42" t="n">
        <v>54.7</v>
      </c>
      <c r="K3" s="42" t="n">
        <v>56.7</v>
      </c>
      <c r="L3" s="42" t="n">
        <v>58.4</v>
      </c>
      <c r="M3" s="1" t="n">
        <v>12.6</v>
      </c>
      <c r="N3" s="1" t="n">
        <v>13.6</v>
      </c>
      <c r="O3" s="1" t="n">
        <v>14.9</v>
      </c>
      <c r="P3" s="1" t="n">
        <v>16.4</v>
      </c>
      <c r="Q3" s="1" t="n">
        <v>17.6</v>
      </c>
    </row>
    <row r="4" customFormat="false" ht="13.5" hidden="false" customHeight="true" outlineLevel="0" collapsed="false">
      <c r="A4" s="40" t="s">
        <v>72</v>
      </c>
      <c r="B4" s="41" t="n">
        <v>2</v>
      </c>
      <c r="C4" s="42" t="n">
        <v>4.4</v>
      </c>
      <c r="D4" s="42" t="n">
        <v>4.9</v>
      </c>
      <c r="E4" s="42" t="n">
        <v>5.6</v>
      </c>
      <c r="F4" s="42" t="n">
        <v>6.3</v>
      </c>
      <c r="G4" s="42" t="n">
        <v>7</v>
      </c>
      <c r="H4" s="42" t="n">
        <v>54.7</v>
      </c>
      <c r="I4" s="42" t="n">
        <v>56.4</v>
      </c>
      <c r="J4" s="42" t="n">
        <v>58.4</v>
      </c>
      <c r="K4" s="42" t="n">
        <v>60.5</v>
      </c>
      <c r="L4" s="42" t="n">
        <v>62.2</v>
      </c>
      <c r="M4" s="1" t="n">
        <v>13.8</v>
      </c>
      <c r="N4" s="1" t="n">
        <v>14.9</v>
      </c>
      <c r="O4" s="1" t="n">
        <v>16.3</v>
      </c>
      <c r="P4" s="1" t="n">
        <v>17.8</v>
      </c>
      <c r="Q4" s="1" t="n">
        <v>19.2</v>
      </c>
    </row>
    <row r="5" customFormat="false" ht="13.5" hidden="false" customHeight="true" outlineLevel="0" collapsed="false">
      <c r="A5" s="40" t="s">
        <v>72</v>
      </c>
      <c r="B5" s="41" t="n">
        <v>3</v>
      </c>
      <c r="C5" s="42" t="n">
        <v>5.1</v>
      </c>
      <c r="D5" s="42" t="n">
        <v>5.6</v>
      </c>
      <c r="E5" s="42" t="n">
        <v>6.4</v>
      </c>
      <c r="F5" s="42" t="n">
        <v>7.2</v>
      </c>
      <c r="G5" s="42" t="n">
        <v>7.9</v>
      </c>
      <c r="H5" s="42" t="n">
        <v>57.6</v>
      </c>
      <c r="I5" s="42" t="n">
        <v>59.3</v>
      </c>
      <c r="J5" s="42" t="n">
        <v>61.4</v>
      </c>
      <c r="K5" s="42" t="n">
        <v>63.5</v>
      </c>
      <c r="L5" s="42" t="n">
        <v>65.3</v>
      </c>
      <c r="M5" s="1" t="n">
        <v>14.4</v>
      </c>
      <c r="N5" s="1" t="n">
        <v>15.5</v>
      </c>
      <c r="O5" s="1" t="n">
        <v>16.9</v>
      </c>
      <c r="P5" s="1" t="n">
        <v>18.5</v>
      </c>
      <c r="Q5" s="1" t="n">
        <v>19.8</v>
      </c>
    </row>
    <row r="6" customFormat="false" ht="13.5" hidden="false" customHeight="true" outlineLevel="0" collapsed="false">
      <c r="A6" s="40" t="s">
        <v>72</v>
      </c>
      <c r="B6" s="41" t="n">
        <v>4</v>
      </c>
      <c r="C6" s="42" t="n">
        <v>5.6</v>
      </c>
      <c r="D6" s="42" t="n">
        <v>6.2</v>
      </c>
      <c r="E6" s="42" t="n">
        <v>7</v>
      </c>
      <c r="F6" s="42" t="n">
        <v>7.9</v>
      </c>
      <c r="G6" s="42" t="n">
        <v>8.6</v>
      </c>
      <c r="H6" s="42" t="n">
        <v>60</v>
      </c>
      <c r="I6" s="42" t="n">
        <v>61.7</v>
      </c>
      <c r="J6" s="42" t="n">
        <v>63.9</v>
      </c>
      <c r="K6" s="42" t="n">
        <v>66</v>
      </c>
      <c r="L6" s="42" t="n">
        <v>67.8</v>
      </c>
      <c r="M6" s="1" t="n">
        <v>14.7</v>
      </c>
      <c r="N6" s="1" t="n">
        <v>15.7</v>
      </c>
      <c r="O6" s="1" t="n">
        <v>17.2</v>
      </c>
      <c r="P6" s="1" t="n">
        <v>18.7</v>
      </c>
      <c r="Q6" s="1" t="n">
        <v>20.1</v>
      </c>
    </row>
    <row r="7" customFormat="false" ht="13.5" hidden="false" customHeight="true" outlineLevel="0" collapsed="false">
      <c r="A7" s="40" t="s">
        <v>72</v>
      </c>
      <c r="B7" s="41" t="n">
        <v>5</v>
      </c>
      <c r="C7" s="42" t="n">
        <v>6.1</v>
      </c>
      <c r="D7" s="42" t="n">
        <v>6.7</v>
      </c>
      <c r="E7" s="42" t="n">
        <v>7.5</v>
      </c>
      <c r="F7" s="42" t="n">
        <v>8.4</v>
      </c>
      <c r="G7" s="42" t="n">
        <v>9.2</v>
      </c>
      <c r="H7" s="42" t="n">
        <v>61.9</v>
      </c>
      <c r="I7" s="42" t="n">
        <v>63.7</v>
      </c>
      <c r="J7" s="42" t="n">
        <v>65.9</v>
      </c>
      <c r="K7" s="42" t="n">
        <v>68.1</v>
      </c>
      <c r="L7" s="42" t="n">
        <v>69.9</v>
      </c>
      <c r="M7" s="1" t="n">
        <v>14.8</v>
      </c>
      <c r="N7" s="1" t="n">
        <v>15.9</v>
      </c>
      <c r="O7" s="1" t="n">
        <v>17.3</v>
      </c>
      <c r="P7" s="1" t="n">
        <v>18.9</v>
      </c>
      <c r="Q7" s="1" t="n">
        <v>20.2</v>
      </c>
    </row>
    <row r="8" customFormat="false" ht="13.5" hidden="false" customHeight="true" outlineLevel="0" collapsed="false">
      <c r="A8" s="40" t="s">
        <v>72</v>
      </c>
      <c r="B8" s="41" t="n">
        <v>6</v>
      </c>
      <c r="C8" s="42" t="n">
        <v>6.4</v>
      </c>
      <c r="D8" s="42" t="n">
        <v>7.1</v>
      </c>
      <c r="E8" s="42" t="n">
        <v>7.9</v>
      </c>
      <c r="F8" s="42" t="n">
        <v>8.9</v>
      </c>
      <c r="G8" s="42" t="n">
        <v>9.7</v>
      </c>
      <c r="H8" s="42" t="n">
        <v>63.6</v>
      </c>
      <c r="I8" s="42" t="n">
        <v>65.4</v>
      </c>
      <c r="J8" s="42" t="n">
        <v>67.6</v>
      </c>
      <c r="K8" s="42" t="n">
        <v>69.8</v>
      </c>
      <c r="L8" s="42" t="n">
        <v>71.6</v>
      </c>
      <c r="M8" s="1" t="n">
        <v>14.9</v>
      </c>
      <c r="N8" s="1" t="n">
        <v>15.9</v>
      </c>
      <c r="O8" s="1" t="n">
        <v>17.3</v>
      </c>
      <c r="P8" s="1" t="n">
        <v>18.9</v>
      </c>
      <c r="Q8" s="1" t="n">
        <v>20.3</v>
      </c>
    </row>
    <row r="9" customFormat="false" ht="13.5" hidden="false" customHeight="true" outlineLevel="0" collapsed="false">
      <c r="A9" s="40" t="s">
        <v>72</v>
      </c>
      <c r="B9" s="41" t="n">
        <v>7</v>
      </c>
      <c r="C9" s="42" t="n">
        <v>6.7</v>
      </c>
      <c r="D9" s="42" t="n">
        <v>7.4</v>
      </c>
      <c r="E9" s="42" t="n">
        <v>8.3</v>
      </c>
      <c r="F9" s="42" t="n">
        <v>9.3</v>
      </c>
      <c r="G9" s="42" t="n">
        <v>10.2</v>
      </c>
      <c r="H9" s="42" t="n">
        <v>65.1</v>
      </c>
      <c r="I9" s="42" t="n">
        <v>66.9</v>
      </c>
      <c r="J9" s="42" t="n">
        <v>69.2</v>
      </c>
      <c r="K9" s="42" t="n">
        <v>71.4</v>
      </c>
      <c r="L9" s="42" t="n">
        <v>73.2</v>
      </c>
      <c r="M9" s="1" t="n">
        <v>14.9</v>
      </c>
      <c r="N9" s="1" t="n">
        <v>15.9</v>
      </c>
      <c r="O9" s="1" t="n">
        <v>17.3</v>
      </c>
      <c r="P9" s="1" t="n">
        <v>18.9</v>
      </c>
      <c r="Q9" s="1" t="n">
        <v>20.3</v>
      </c>
    </row>
    <row r="10" customFormat="false" ht="13.5" hidden="false" customHeight="true" outlineLevel="0" collapsed="false">
      <c r="A10" s="40" t="s">
        <v>72</v>
      </c>
      <c r="B10" s="41" t="n">
        <v>8</v>
      </c>
      <c r="C10" s="42" t="n">
        <v>7</v>
      </c>
      <c r="D10" s="42" t="n">
        <v>7.7</v>
      </c>
      <c r="E10" s="42" t="n">
        <v>8.6</v>
      </c>
      <c r="F10" s="42" t="n">
        <v>9.6</v>
      </c>
      <c r="G10" s="42" t="n">
        <v>10.5</v>
      </c>
      <c r="H10" s="42" t="n">
        <v>66.5</v>
      </c>
      <c r="I10" s="42" t="n">
        <v>68.3</v>
      </c>
      <c r="J10" s="42" t="n">
        <v>70.6</v>
      </c>
      <c r="K10" s="42" t="n">
        <v>72.9</v>
      </c>
      <c r="L10" s="42" t="n">
        <v>74.7</v>
      </c>
      <c r="M10" s="1" t="n">
        <v>14.9</v>
      </c>
      <c r="N10" s="1" t="n">
        <v>15.9</v>
      </c>
      <c r="O10" s="1" t="n">
        <v>17.3</v>
      </c>
      <c r="P10" s="1" t="n">
        <v>18.8</v>
      </c>
      <c r="Q10" s="1" t="n">
        <v>20.2</v>
      </c>
    </row>
    <row r="11" customFormat="false" ht="13.5" hidden="false" customHeight="true" outlineLevel="0" collapsed="false">
      <c r="A11" s="40" t="s">
        <v>72</v>
      </c>
      <c r="B11" s="41" t="n">
        <v>9</v>
      </c>
      <c r="C11" s="42" t="n">
        <v>7.2</v>
      </c>
      <c r="D11" s="42" t="n">
        <v>7.9</v>
      </c>
      <c r="E11" s="42" t="n">
        <v>8.9</v>
      </c>
      <c r="F11" s="42" t="n">
        <v>10</v>
      </c>
      <c r="G11" s="42" t="n">
        <v>10.9</v>
      </c>
      <c r="H11" s="42" t="n">
        <v>67.7</v>
      </c>
      <c r="I11" s="42" t="n">
        <v>69.6</v>
      </c>
      <c r="J11" s="42" t="n">
        <v>72</v>
      </c>
      <c r="K11" s="42" t="n">
        <v>74.3</v>
      </c>
      <c r="L11" s="42" t="n">
        <v>76.2</v>
      </c>
      <c r="M11" s="1" t="n">
        <v>14.8</v>
      </c>
      <c r="N11" s="1" t="n">
        <v>15.8</v>
      </c>
      <c r="O11" s="1" t="n">
        <v>17.2</v>
      </c>
      <c r="P11" s="1" t="n">
        <v>18.7</v>
      </c>
      <c r="Q11" s="1" t="n">
        <v>20.1</v>
      </c>
    </row>
    <row r="12" customFormat="false" ht="13.5" hidden="false" customHeight="true" outlineLevel="0" collapsed="false">
      <c r="A12" s="40" t="s">
        <v>72</v>
      </c>
      <c r="B12" s="41" t="n">
        <v>10</v>
      </c>
      <c r="C12" s="42" t="n">
        <v>7.5</v>
      </c>
      <c r="D12" s="42" t="n">
        <v>8.2</v>
      </c>
      <c r="E12" s="42" t="n">
        <v>9.2</v>
      </c>
      <c r="F12" s="42" t="n">
        <v>10.3</v>
      </c>
      <c r="G12" s="42" t="n">
        <v>11.2</v>
      </c>
      <c r="H12" s="42" t="n">
        <v>69</v>
      </c>
      <c r="I12" s="42" t="n">
        <v>70.9</v>
      </c>
      <c r="J12" s="42" t="n">
        <v>73.3</v>
      </c>
      <c r="K12" s="42" t="n">
        <v>75.6</v>
      </c>
      <c r="L12" s="42" t="n">
        <v>77.6</v>
      </c>
      <c r="M12" s="1" t="n">
        <v>14.7</v>
      </c>
      <c r="N12" s="1" t="n">
        <v>15.7</v>
      </c>
      <c r="O12" s="1" t="n">
        <v>17</v>
      </c>
      <c r="P12" s="1" t="n">
        <v>18.6</v>
      </c>
      <c r="Q12" s="1" t="n">
        <v>19.9</v>
      </c>
    </row>
    <row r="13" customFormat="false" ht="13.5" hidden="false" customHeight="true" outlineLevel="0" collapsed="false">
      <c r="A13" s="40" t="s">
        <v>72</v>
      </c>
      <c r="B13" s="41" t="n">
        <v>11</v>
      </c>
      <c r="C13" s="42" t="n">
        <v>7.7</v>
      </c>
      <c r="D13" s="42" t="n">
        <v>8.4</v>
      </c>
      <c r="E13" s="42" t="n">
        <v>9.4</v>
      </c>
      <c r="F13" s="42" t="n">
        <v>10.5</v>
      </c>
      <c r="G13" s="42" t="n">
        <v>11.5</v>
      </c>
      <c r="H13" s="42" t="n">
        <v>70.2</v>
      </c>
      <c r="I13" s="42" t="n">
        <v>72.1</v>
      </c>
      <c r="J13" s="42" t="n">
        <v>74.5</v>
      </c>
      <c r="K13" s="42" t="n">
        <v>77</v>
      </c>
      <c r="L13" s="42" t="n">
        <v>78.9</v>
      </c>
      <c r="M13" s="1" t="n">
        <v>14.6</v>
      </c>
      <c r="N13" s="1" t="n">
        <v>15.6</v>
      </c>
      <c r="O13" s="1" t="n">
        <v>16.9</v>
      </c>
      <c r="P13" s="1" t="n">
        <v>18.4</v>
      </c>
      <c r="Q13" s="1" t="n">
        <v>19.8</v>
      </c>
    </row>
    <row r="14" customFormat="false" ht="13.5" hidden="false" customHeight="true" outlineLevel="0" collapsed="false">
      <c r="A14" s="40" t="s">
        <v>72</v>
      </c>
      <c r="B14" s="41" t="n">
        <v>12</v>
      </c>
      <c r="C14" s="42" t="n">
        <v>7.8</v>
      </c>
      <c r="D14" s="42" t="n">
        <v>8.6</v>
      </c>
      <c r="E14" s="42" t="n">
        <v>9.6</v>
      </c>
      <c r="F14" s="42" t="n">
        <v>10.8</v>
      </c>
      <c r="G14" s="42" t="n">
        <v>11.8</v>
      </c>
      <c r="H14" s="42" t="n">
        <v>71.3</v>
      </c>
      <c r="I14" s="42" t="n">
        <v>73.3</v>
      </c>
      <c r="J14" s="42" t="n">
        <v>75.7</v>
      </c>
      <c r="K14" s="42" t="n">
        <v>78.2</v>
      </c>
      <c r="L14" s="42" t="n">
        <v>80.2</v>
      </c>
      <c r="M14" s="1" t="n">
        <v>14.5</v>
      </c>
      <c r="N14" s="1" t="n">
        <v>15.5</v>
      </c>
      <c r="O14" s="1" t="n">
        <v>16.8</v>
      </c>
      <c r="P14" s="1" t="n">
        <v>18.3</v>
      </c>
      <c r="Q14" s="1" t="n">
        <v>19.6</v>
      </c>
    </row>
    <row r="15" customFormat="false" ht="13.5" hidden="false" customHeight="true" outlineLevel="0" collapsed="false">
      <c r="A15" s="40" t="s">
        <v>72</v>
      </c>
      <c r="B15" s="41" t="n">
        <v>13</v>
      </c>
      <c r="C15" s="42" t="n">
        <v>8</v>
      </c>
      <c r="D15" s="42" t="n">
        <v>8.8</v>
      </c>
      <c r="E15" s="42" t="n">
        <v>9.9</v>
      </c>
      <c r="F15" s="42" t="n">
        <v>11.1</v>
      </c>
      <c r="G15" s="42" t="n">
        <v>12.1</v>
      </c>
      <c r="H15" s="42" t="n">
        <v>72.4</v>
      </c>
      <c r="I15" s="42" t="n">
        <v>74.4</v>
      </c>
      <c r="J15" s="42" t="n">
        <v>76.9</v>
      </c>
      <c r="K15" s="42" t="n">
        <v>79.4</v>
      </c>
      <c r="L15" s="42" t="n">
        <v>81.5</v>
      </c>
      <c r="M15" s="1" t="n">
        <v>14.4</v>
      </c>
      <c r="N15" s="1" t="n">
        <v>15.4</v>
      </c>
      <c r="O15" s="1" t="n">
        <v>16.7</v>
      </c>
      <c r="P15" s="1" t="n">
        <v>18.1</v>
      </c>
      <c r="Q15" s="1" t="n">
        <v>19.5</v>
      </c>
    </row>
    <row r="16" customFormat="false" ht="13.5" hidden="false" customHeight="true" outlineLevel="0" collapsed="false">
      <c r="A16" s="40" t="s">
        <v>72</v>
      </c>
      <c r="B16" s="41" t="n">
        <v>14</v>
      </c>
      <c r="C16" s="42" t="n">
        <v>8.2</v>
      </c>
      <c r="D16" s="42" t="n">
        <v>9</v>
      </c>
      <c r="E16" s="42" t="n">
        <v>10.1</v>
      </c>
      <c r="F16" s="42" t="n">
        <v>11.3</v>
      </c>
      <c r="G16" s="42" t="n">
        <v>12.4</v>
      </c>
      <c r="H16" s="42" t="n">
        <v>73.4</v>
      </c>
      <c r="I16" s="42" t="n">
        <v>75.5</v>
      </c>
      <c r="J16" s="42" t="n">
        <v>78</v>
      </c>
      <c r="K16" s="42" t="n">
        <v>80.6</v>
      </c>
      <c r="L16" s="42" t="n">
        <v>82.7</v>
      </c>
      <c r="M16" s="1" t="n">
        <v>14.3</v>
      </c>
      <c r="N16" s="1" t="n">
        <v>15.3</v>
      </c>
      <c r="O16" s="1" t="n">
        <v>16.6</v>
      </c>
      <c r="P16" s="1" t="n">
        <v>18</v>
      </c>
      <c r="Q16" s="1" t="n">
        <v>19.3</v>
      </c>
    </row>
    <row r="17" customFormat="false" ht="13.5" hidden="false" customHeight="true" outlineLevel="0" collapsed="false">
      <c r="A17" s="40" t="s">
        <v>72</v>
      </c>
      <c r="B17" s="41" t="n">
        <v>15</v>
      </c>
      <c r="C17" s="42" t="n">
        <v>8.4</v>
      </c>
      <c r="D17" s="42" t="n">
        <v>9.2</v>
      </c>
      <c r="E17" s="42" t="n">
        <v>10.3</v>
      </c>
      <c r="F17" s="42" t="n">
        <v>11.6</v>
      </c>
      <c r="G17" s="42" t="n">
        <v>12.7</v>
      </c>
      <c r="H17" s="42" t="n">
        <v>74.4</v>
      </c>
      <c r="I17" s="42" t="n">
        <v>76.5</v>
      </c>
      <c r="J17" s="42" t="n">
        <v>79.1</v>
      </c>
      <c r="K17" s="42" t="n">
        <v>81.8</v>
      </c>
      <c r="L17" s="42" t="n">
        <v>83.9</v>
      </c>
      <c r="M17" s="1" t="n">
        <v>14.2</v>
      </c>
      <c r="N17" s="1" t="n">
        <v>15.2</v>
      </c>
      <c r="O17" s="1" t="n">
        <v>16.4</v>
      </c>
      <c r="P17" s="1" t="n">
        <v>17.9</v>
      </c>
      <c r="Q17" s="1" t="n">
        <v>19.2</v>
      </c>
    </row>
    <row r="18" customFormat="false" ht="13.5" hidden="false" customHeight="true" outlineLevel="0" collapsed="false">
      <c r="A18" s="40" t="s">
        <v>72</v>
      </c>
      <c r="B18" s="41" t="n">
        <v>16</v>
      </c>
      <c r="C18" s="42" t="n">
        <v>8.5</v>
      </c>
      <c r="D18" s="42" t="n">
        <v>9.4</v>
      </c>
      <c r="E18" s="42" t="n">
        <v>10.5</v>
      </c>
      <c r="F18" s="42" t="n">
        <v>11.8</v>
      </c>
      <c r="G18" s="42" t="n">
        <v>12.9</v>
      </c>
      <c r="H18" s="42" t="n">
        <v>75.4</v>
      </c>
      <c r="I18" s="42" t="n">
        <v>77.5</v>
      </c>
      <c r="J18" s="42" t="n">
        <v>80.2</v>
      </c>
      <c r="K18" s="42" t="n">
        <v>82.9</v>
      </c>
      <c r="L18" s="42" t="n">
        <v>85.1</v>
      </c>
      <c r="M18" s="1" t="n">
        <v>14.2</v>
      </c>
      <c r="N18" s="1" t="n">
        <v>15.1</v>
      </c>
      <c r="O18" s="1" t="n">
        <v>16.3</v>
      </c>
      <c r="P18" s="1" t="n">
        <v>17.8</v>
      </c>
      <c r="Q18" s="1" t="n">
        <v>19.1</v>
      </c>
    </row>
    <row r="19" customFormat="false" ht="13.5" hidden="false" customHeight="true" outlineLevel="0" collapsed="false">
      <c r="A19" s="40" t="s">
        <v>72</v>
      </c>
      <c r="B19" s="41" t="n">
        <v>17</v>
      </c>
      <c r="C19" s="42" t="n">
        <v>8.7</v>
      </c>
      <c r="D19" s="42" t="n">
        <v>9.6</v>
      </c>
      <c r="E19" s="42" t="n">
        <v>10.7</v>
      </c>
      <c r="F19" s="42" t="n">
        <v>12</v>
      </c>
      <c r="G19" s="42" t="n">
        <v>13.2</v>
      </c>
      <c r="H19" s="42" t="n">
        <v>76.3</v>
      </c>
      <c r="I19" s="42" t="n">
        <v>78.5</v>
      </c>
      <c r="J19" s="42" t="n">
        <v>81.2</v>
      </c>
      <c r="K19" s="42" t="n">
        <v>84</v>
      </c>
      <c r="L19" s="42" t="n">
        <v>86.2</v>
      </c>
      <c r="M19" s="1" t="n">
        <v>14.1</v>
      </c>
      <c r="N19" s="1" t="n">
        <v>15</v>
      </c>
      <c r="O19" s="1" t="n">
        <v>16.2</v>
      </c>
      <c r="P19" s="1" t="n">
        <v>17.6</v>
      </c>
      <c r="Q19" s="1" t="n">
        <v>18.9</v>
      </c>
    </row>
    <row r="20" customFormat="false" ht="13.5" hidden="false" customHeight="true" outlineLevel="0" collapsed="false">
      <c r="A20" s="40" t="s">
        <v>72</v>
      </c>
      <c r="B20" s="41" t="n">
        <v>18</v>
      </c>
      <c r="C20" s="42" t="n">
        <v>8.9</v>
      </c>
      <c r="D20" s="42" t="n">
        <v>9.7</v>
      </c>
      <c r="E20" s="42" t="n">
        <v>10.9</v>
      </c>
      <c r="F20" s="42" t="n">
        <v>12.3</v>
      </c>
      <c r="G20" s="42" t="n">
        <v>13.5</v>
      </c>
      <c r="H20" s="42" t="n">
        <v>77.2</v>
      </c>
      <c r="I20" s="42" t="n">
        <v>79.5</v>
      </c>
      <c r="J20" s="42" t="n">
        <v>82.3</v>
      </c>
      <c r="K20" s="42" t="n">
        <v>85.1</v>
      </c>
      <c r="L20" s="42" t="n">
        <v>87.3</v>
      </c>
      <c r="M20" s="1" t="n">
        <v>14</v>
      </c>
      <c r="N20" s="1" t="n">
        <v>14.9</v>
      </c>
      <c r="O20" s="1" t="n">
        <v>16.1</v>
      </c>
      <c r="P20" s="1" t="n">
        <v>17.5</v>
      </c>
      <c r="Q20" s="1" t="n">
        <v>18.8</v>
      </c>
    </row>
    <row r="21" customFormat="false" ht="13.5" hidden="false" customHeight="true" outlineLevel="0" collapsed="false">
      <c r="A21" s="40" t="s">
        <v>72</v>
      </c>
      <c r="B21" s="41" t="n">
        <v>19</v>
      </c>
      <c r="C21" s="42" t="n">
        <v>9</v>
      </c>
      <c r="D21" s="42" t="n">
        <v>9.9</v>
      </c>
      <c r="E21" s="42" t="n">
        <v>11.1</v>
      </c>
      <c r="F21" s="42" t="n">
        <v>12.5</v>
      </c>
      <c r="G21" s="42" t="n">
        <v>13.7</v>
      </c>
      <c r="H21" s="42" t="n">
        <v>78.1</v>
      </c>
      <c r="I21" s="42" t="n">
        <v>80.4</v>
      </c>
      <c r="J21" s="42" t="n">
        <v>83.2</v>
      </c>
      <c r="K21" s="42" t="n">
        <v>86.1</v>
      </c>
      <c r="L21" s="42" t="n">
        <v>88.4</v>
      </c>
      <c r="M21" s="1" t="n">
        <v>13.9</v>
      </c>
      <c r="N21" s="1" t="n">
        <v>14.8</v>
      </c>
      <c r="O21" s="1" t="n">
        <v>16.1</v>
      </c>
      <c r="P21" s="1" t="n">
        <v>17.4</v>
      </c>
      <c r="Q21" s="1" t="n">
        <v>18.7</v>
      </c>
    </row>
    <row r="22" customFormat="false" ht="13.5" hidden="false" customHeight="true" outlineLevel="0" collapsed="false">
      <c r="A22" s="40" t="s">
        <v>72</v>
      </c>
      <c r="B22" s="41" t="n">
        <v>20</v>
      </c>
      <c r="C22" s="42" t="n">
        <v>9.2</v>
      </c>
      <c r="D22" s="42" t="n">
        <v>10.1</v>
      </c>
      <c r="E22" s="42" t="n">
        <v>11.3</v>
      </c>
      <c r="F22" s="42" t="n">
        <v>12.7</v>
      </c>
      <c r="G22" s="42" t="n">
        <v>14</v>
      </c>
      <c r="H22" s="42" t="n">
        <v>78.9</v>
      </c>
      <c r="I22" s="42" t="n">
        <v>81.3</v>
      </c>
      <c r="J22" s="42" t="n">
        <v>84.2</v>
      </c>
      <c r="K22" s="42" t="n">
        <v>87.1</v>
      </c>
      <c r="L22" s="42" t="n">
        <v>89.5</v>
      </c>
      <c r="M22" s="1" t="n">
        <v>13.9</v>
      </c>
      <c r="N22" s="1" t="n">
        <v>14.8</v>
      </c>
      <c r="O22" s="1" t="n">
        <v>16</v>
      </c>
      <c r="P22" s="1" t="n">
        <v>17.4</v>
      </c>
      <c r="Q22" s="1" t="n">
        <v>18.6</v>
      </c>
    </row>
    <row r="23" customFormat="false" ht="13.5" hidden="false" customHeight="true" outlineLevel="0" collapsed="false">
      <c r="A23" s="40" t="s">
        <v>72</v>
      </c>
      <c r="B23" s="41" t="n">
        <v>21</v>
      </c>
      <c r="C23" s="42" t="n">
        <v>9.3</v>
      </c>
      <c r="D23" s="42" t="n">
        <v>10.3</v>
      </c>
      <c r="E23" s="42" t="n">
        <v>11.5</v>
      </c>
      <c r="F23" s="42" t="n">
        <v>13</v>
      </c>
      <c r="G23" s="42" t="n">
        <v>14.3</v>
      </c>
      <c r="H23" s="42" t="n">
        <v>79.7</v>
      </c>
      <c r="I23" s="42" t="n">
        <v>82.2</v>
      </c>
      <c r="J23" s="42" t="n">
        <v>85.1</v>
      </c>
      <c r="K23" s="42" t="n">
        <v>88.1</v>
      </c>
      <c r="L23" s="42" t="n">
        <v>90.5</v>
      </c>
      <c r="M23" s="1" t="n">
        <v>13.8</v>
      </c>
      <c r="N23" s="1" t="n">
        <v>14.7</v>
      </c>
      <c r="O23" s="1" t="n">
        <v>15.9</v>
      </c>
      <c r="P23" s="1" t="n">
        <v>17.3</v>
      </c>
      <c r="Q23" s="1" t="n">
        <v>18.6</v>
      </c>
    </row>
    <row r="24" customFormat="false" ht="13.5" hidden="false" customHeight="true" outlineLevel="0" collapsed="false">
      <c r="A24" s="40" t="s">
        <v>72</v>
      </c>
      <c r="B24" s="41" t="n">
        <v>22</v>
      </c>
      <c r="C24" s="42" t="n">
        <v>9.5</v>
      </c>
      <c r="D24" s="42" t="n">
        <v>10.5</v>
      </c>
      <c r="E24" s="42" t="n">
        <v>11.8</v>
      </c>
      <c r="F24" s="42" t="n">
        <v>13.2</v>
      </c>
      <c r="G24" s="42" t="n">
        <v>14.5</v>
      </c>
      <c r="H24" s="42" t="n">
        <v>80.5</v>
      </c>
      <c r="I24" s="42" t="n">
        <v>83</v>
      </c>
      <c r="J24" s="42" t="n">
        <v>86</v>
      </c>
      <c r="K24" s="42" t="n">
        <v>89.1</v>
      </c>
      <c r="L24" s="42" t="n">
        <v>91.6</v>
      </c>
      <c r="M24" s="1" t="n">
        <v>13.8</v>
      </c>
      <c r="N24" s="1" t="n">
        <v>14.6</v>
      </c>
      <c r="O24" s="1" t="n">
        <v>15.8</v>
      </c>
      <c r="P24" s="1" t="n">
        <v>17.2</v>
      </c>
      <c r="Q24" s="1" t="n">
        <v>18.5</v>
      </c>
    </row>
    <row r="25" customFormat="false" ht="13.5" hidden="false" customHeight="true" outlineLevel="0" collapsed="false">
      <c r="A25" s="40" t="s">
        <v>72</v>
      </c>
      <c r="B25" s="41" t="n">
        <v>23</v>
      </c>
      <c r="C25" s="42" t="n">
        <v>9.7</v>
      </c>
      <c r="D25" s="42" t="n">
        <v>10.6</v>
      </c>
      <c r="E25" s="42" t="n">
        <v>12</v>
      </c>
      <c r="F25" s="42" t="n">
        <v>13.4</v>
      </c>
      <c r="G25" s="42" t="n">
        <v>14.8</v>
      </c>
      <c r="H25" s="42" t="n">
        <v>81.3</v>
      </c>
      <c r="I25" s="42" t="n">
        <v>83.8</v>
      </c>
      <c r="J25" s="42" t="n">
        <v>86.9</v>
      </c>
      <c r="K25" s="42" t="n">
        <v>90</v>
      </c>
      <c r="L25" s="42" t="n">
        <v>92.6</v>
      </c>
      <c r="M25" s="1" t="n">
        <v>13.7</v>
      </c>
      <c r="N25" s="1" t="n">
        <v>14.6</v>
      </c>
      <c r="O25" s="1" t="n">
        <v>15.8</v>
      </c>
      <c r="P25" s="1" t="n">
        <v>17.1</v>
      </c>
      <c r="Q25" s="1" t="n">
        <v>18.4</v>
      </c>
    </row>
    <row r="26" customFormat="false" ht="13.5" hidden="false" customHeight="true" outlineLevel="0" collapsed="false">
      <c r="A26" s="40" t="s">
        <v>72</v>
      </c>
      <c r="B26" s="41" t="n">
        <v>24</v>
      </c>
      <c r="C26" s="42" t="n">
        <v>9.8</v>
      </c>
      <c r="D26" s="42" t="n">
        <v>10.8</v>
      </c>
      <c r="E26" s="42" t="n">
        <v>12.2</v>
      </c>
      <c r="F26" s="42" t="n">
        <v>13.7</v>
      </c>
      <c r="G26" s="42" t="n">
        <v>15.1</v>
      </c>
      <c r="H26" s="42" t="n">
        <v>82.1</v>
      </c>
      <c r="I26" s="42" t="n">
        <v>84.6</v>
      </c>
      <c r="J26" s="42" t="n">
        <v>87.8</v>
      </c>
      <c r="K26" s="42" t="n">
        <v>91</v>
      </c>
      <c r="L26" s="42" t="n">
        <v>93.6</v>
      </c>
      <c r="M26" s="1" t="n">
        <v>13.7</v>
      </c>
      <c r="N26" s="1" t="n">
        <v>14.5</v>
      </c>
      <c r="O26" s="1" t="n">
        <v>15.7</v>
      </c>
      <c r="P26" s="1" t="n">
        <v>17.1</v>
      </c>
      <c r="Q26" s="1" t="n">
        <v>18.3</v>
      </c>
    </row>
    <row r="27" customFormat="false" ht="13.5" hidden="false" customHeight="true" outlineLevel="0" collapsed="false">
      <c r="A27" s="40" t="s">
        <v>72</v>
      </c>
      <c r="B27" s="42" t="n">
        <v>25</v>
      </c>
      <c r="C27" s="42" t="n">
        <v>10</v>
      </c>
      <c r="D27" s="42" t="n">
        <v>11</v>
      </c>
      <c r="E27" s="42" t="n">
        <v>12.4</v>
      </c>
      <c r="F27" s="42" t="n">
        <v>13.9</v>
      </c>
      <c r="G27" s="42" t="n">
        <v>15.3</v>
      </c>
      <c r="H27" s="42" t="n">
        <v>82.1</v>
      </c>
      <c r="I27" s="42" t="n">
        <v>84.7</v>
      </c>
      <c r="J27" s="42" t="n">
        <v>88</v>
      </c>
      <c r="K27" s="42" t="n">
        <v>91.2</v>
      </c>
      <c r="L27" s="42" t="n">
        <v>93.8</v>
      </c>
      <c r="M27" s="1" t="n">
        <v>13.9</v>
      </c>
      <c r="N27" s="1" t="n">
        <v>14.8</v>
      </c>
      <c r="O27" s="1" t="n">
        <v>16</v>
      </c>
      <c r="P27" s="1" t="n">
        <v>17.4</v>
      </c>
      <c r="Q27" s="1" t="n">
        <v>18.6</v>
      </c>
    </row>
    <row r="28" customFormat="false" ht="14.25" hidden="false" customHeight="true" outlineLevel="0" collapsed="false">
      <c r="A28" s="40" t="s">
        <v>72</v>
      </c>
      <c r="B28" s="42" t="n">
        <v>26</v>
      </c>
      <c r="C28" s="42" t="n">
        <v>10.1</v>
      </c>
      <c r="D28" s="42" t="n">
        <v>11.1</v>
      </c>
      <c r="E28" s="42" t="n">
        <v>12.5</v>
      </c>
      <c r="F28" s="42" t="n">
        <v>14.1</v>
      </c>
      <c r="G28" s="42" t="n">
        <v>15.6</v>
      </c>
      <c r="H28" s="42" t="n">
        <v>82.8</v>
      </c>
      <c r="I28" s="42" t="n">
        <v>85.5</v>
      </c>
      <c r="J28" s="42" t="n">
        <v>88.8</v>
      </c>
      <c r="K28" s="42" t="n">
        <v>92.1</v>
      </c>
      <c r="L28" s="42" t="n">
        <v>94.8</v>
      </c>
      <c r="M28" s="1" t="n">
        <v>13.8</v>
      </c>
      <c r="N28" s="1" t="n">
        <v>14.7</v>
      </c>
      <c r="O28" s="1" t="n">
        <v>15.9</v>
      </c>
      <c r="P28" s="1" t="n">
        <v>17.3</v>
      </c>
      <c r="Q28" s="1" t="n">
        <v>18.6</v>
      </c>
    </row>
    <row r="29" customFormat="false" ht="14.25" hidden="false" customHeight="true" outlineLevel="0" collapsed="false">
      <c r="A29" s="40" t="s">
        <v>72</v>
      </c>
      <c r="B29" s="42" t="n">
        <v>27</v>
      </c>
      <c r="C29" s="42" t="n">
        <v>10.2</v>
      </c>
      <c r="D29" s="42" t="n">
        <v>11.3</v>
      </c>
      <c r="E29" s="42" t="n">
        <v>12.7</v>
      </c>
      <c r="F29" s="42" t="n">
        <v>14.4</v>
      </c>
      <c r="G29" s="42" t="n">
        <v>15.9</v>
      </c>
      <c r="H29" s="42" t="n">
        <v>83.5</v>
      </c>
      <c r="I29" s="42" t="n">
        <v>86.3</v>
      </c>
      <c r="J29" s="42" t="n">
        <v>89.6</v>
      </c>
      <c r="K29" s="42" t="n">
        <v>93</v>
      </c>
      <c r="L29" s="42" t="n">
        <v>95.7</v>
      </c>
      <c r="M29" s="1" t="n">
        <v>13.8</v>
      </c>
      <c r="N29" s="1" t="n">
        <v>14.7</v>
      </c>
      <c r="O29" s="1" t="n">
        <v>15.9</v>
      </c>
      <c r="P29" s="1" t="n">
        <v>17.3</v>
      </c>
      <c r="Q29" s="1" t="n">
        <v>18.5</v>
      </c>
    </row>
    <row r="30" customFormat="false" ht="14.25" hidden="false" customHeight="true" outlineLevel="0" collapsed="false">
      <c r="A30" s="40" t="s">
        <v>72</v>
      </c>
      <c r="B30" s="42" t="n">
        <v>28</v>
      </c>
      <c r="C30" s="42" t="n">
        <v>10.4</v>
      </c>
      <c r="D30" s="42" t="n">
        <v>11.5</v>
      </c>
      <c r="E30" s="42" t="n">
        <v>12.9</v>
      </c>
      <c r="F30" s="42" t="n">
        <v>14.6</v>
      </c>
      <c r="G30" s="42" t="n">
        <v>16.1</v>
      </c>
      <c r="H30" s="42" t="n">
        <v>84.2</v>
      </c>
      <c r="I30" s="42" t="n">
        <v>87</v>
      </c>
      <c r="J30" s="42" t="n">
        <v>90.4</v>
      </c>
      <c r="K30" s="42" t="n">
        <v>93.8</v>
      </c>
      <c r="L30" s="42" t="n">
        <v>96.6</v>
      </c>
      <c r="M30" s="1" t="n">
        <v>13.8</v>
      </c>
      <c r="N30" s="1" t="n">
        <v>14.7</v>
      </c>
      <c r="O30" s="1" t="n">
        <v>15.9</v>
      </c>
      <c r="P30" s="1" t="n">
        <v>17.2</v>
      </c>
      <c r="Q30" s="1" t="n">
        <v>18.5</v>
      </c>
    </row>
    <row r="31" customFormat="false" ht="14.25" hidden="false" customHeight="true" outlineLevel="0" collapsed="false">
      <c r="A31" s="40" t="s">
        <v>72</v>
      </c>
      <c r="B31" s="42" t="n">
        <v>29</v>
      </c>
      <c r="C31" s="42" t="n">
        <v>10.5</v>
      </c>
      <c r="D31" s="42" t="n">
        <v>11.6</v>
      </c>
      <c r="E31" s="42" t="n">
        <v>13.1</v>
      </c>
      <c r="F31" s="42" t="n">
        <v>14.8</v>
      </c>
      <c r="G31" s="42" t="n">
        <v>16.4</v>
      </c>
      <c r="H31" s="42" t="n">
        <v>84.9</v>
      </c>
      <c r="I31" s="42" t="n">
        <v>87.7</v>
      </c>
      <c r="J31" s="42" t="n">
        <v>91.2</v>
      </c>
      <c r="K31" s="42" t="n">
        <v>94.7</v>
      </c>
      <c r="L31" s="42" t="n">
        <v>97.5</v>
      </c>
      <c r="M31" s="1" t="n">
        <v>13.7</v>
      </c>
      <c r="N31" s="1" t="n">
        <v>14.6</v>
      </c>
      <c r="O31" s="1" t="n">
        <v>15.8</v>
      </c>
      <c r="P31" s="1" t="n">
        <v>17.2</v>
      </c>
      <c r="Q31" s="1" t="n">
        <v>18.4</v>
      </c>
    </row>
    <row r="32" customFormat="false" ht="14.25" hidden="false" customHeight="true" outlineLevel="0" collapsed="false">
      <c r="A32" s="40" t="s">
        <v>72</v>
      </c>
      <c r="B32" s="42" t="n">
        <v>30</v>
      </c>
      <c r="C32" s="42" t="n">
        <v>10.7</v>
      </c>
      <c r="D32" s="42" t="n">
        <v>11.8</v>
      </c>
      <c r="E32" s="42" t="n">
        <v>13.3</v>
      </c>
      <c r="F32" s="42" t="n">
        <v>15</v>
      </c>
      <c r="G32" s="42" t="n">
        <v>16.6</v>
      </c>
      <c r="H32" s="42" t="n">
        <v>85.5</v>
      </c>
      <c r="I32" s="42" t="n">
        <v>88.4</v>
      </c>
      <c r="J32" s="42" t="n">
        <v>91.9</v>
      </c>
      <c r="K32" s="42" t="n">
        <v>95.5</v>
      </c>
      <c r="L32" s="42" t="n">
        <v>98.3</v>
      </c>
      <c r="M32" s="1" t="n">
        <v>13.7</v>
      </c>
      <c r="N32" s="1" t="n">
        <v>14.6</v>
      </c>
      <c r="O32" s="1" t="n">
        <v>15.8</v>
      </c>
      <c r="P32" s="1" t="n">
        <v>17.2</v>
      </c>
      <c r="Q32" s="1" t="n">
        <v>18.4</v>
      </c>
    </row>
    <row r="33" customFormat="false" ht="14.25" hidden="false" customHeight="true" outlineLevel="0" collapsed="false">
      <c r="A33" s="40" t="s">
        <v>72</v>
      </c>
      <c r="B33" s="42" t="n">
        <v>31</v>
      </c>
      <c r="C33" s="42" t="n">
        <v>10.8</v>
      </c>
      <c r="D33" s="42" t="n">
        <v>11.9</v>
      </c>
      <c r="E33" s="42" t="n">
        <v>13.5</v>
      </c>
      <c r="F33" s="42" t="n">
        <v>15.2</v>
      </c>
      <c r="G33" s="42" t="n">
        <v>16.9</v>
      </c>
      <c r="H33" s="42" t="n">
        <v>86.2</v>
      </c>
      <c r="I33" s="42" t="n">
        <v>89.1</v>
      </c>
      <c r="J33" s="42" t="n">
        <v>92.7</v>
      </c>
      <c r="K33" s="42" t="n">
        <v>96.2</v>
      </c>
      <c r="L33" s="42" t="n">
        <v>99.2</v>
      </c>
      <c r="M33" s="1" t="n">
        <v>13.7</v>
      </c>
      <c r="N33" s="1" t="n">
        <v>14.5</v>
      </c>
      <c r="O33" s="1" t="n">
        <v>15.8</v>
      </c>
      <c r="P33" s="1" t="n">
        <v>17.1</v>
      </c>
      <c r="Q33" s="1" t="n">
        <v>18.4</v>
      </c>
    </row>
    <row r="34" customFormat="false" ht="14.25" hidden="false" customHeight="true" outlineLevel="0" collapsed="false">
      <c r="A34" s="40" t="s">
        <v>72</v>
      </c>
      <c r="B34" s="42" t="n">
        <v>32</v>
      </c>
      <c r="C34" s="42" t="n">
        <v>10.9</v>
      </c>
      <c r="D34" s="42" t="n">
        <v>12.1</v>
      </c>
      <c r="E34" s="42" t="n">
        <v>13.7</v>
      </c>
      <c r="F34" s="42" t="n">
        <v>15.5</v>
      </c>
      <c r="G34" s="42" t="n">
        <v>17.1</v>
      </c>
      <c r="H34" s="42" t="n">
        <v>86.8</v>
      </c>
      <c r="I34" s="42" t="n">
        <v>89.7</v>
      </c>
      <c r="J34" s="42" t="n">
        <v>93.4</v>
      </c>
      <c r="K34" s="42" t="n">
        <v>97</v>
      </c>
      <c r="L34" s="42" t="n">
        <v>100</v>
      </c>
      <c r="M34" s="1" t="n">
        <v>13.6</v>
      </c>
      <c r="N34" s="1" t="n">
        <v>14.5</v>
      </c>
      <c r="O34" s="1" t="n">
        <v>15.7</v>
      </c>
      <c r="P34" s="1" t="n">
        <v>17.1</v>
      </c>
      <c r="Q34" s="1" t="n">
        <v>18.3</v>
      </c>
    </row>
    <row r="35" customFormat="false" ht="14.25" hidden="false" customHeight="true" outlineLevel="0" collapsed="false">
      <c r="A35" s="40" t="s">
        <v>72</v>
      </c>
      <c r="B35" s="42" t="n">
        <v>33</v>
      </c>
      <c r="C35" s="42" t="n">
        <v>11.1</v>
      </c>
      <c r="D35" s="42" t="n">
        <v>12.2</v>
      </c>
      <c r="E35" s="42" t="n">
        <v>13.8</v>
      </c>
      <c r="F35" s="42" t="n">
        <v>15.7</v>
      </c>
      <c r="G35" s="42" t="n">
        <v>17.3</v>
      </c>
      <c r="H35" s="42" t="n">
        <v>87.4</v>
      </c>
      <c r="I35" s="42" t="n">
        <v>90.4</v>
      </c>
      <c r="J35" s="42" t="n">
        <v>94.1</v>
      </c>
      <c r="K35" s="42" t="n">
        <v>97.8</v>
      </c>
      <c r="L35" s="42" t="n">
        <v>100.8</v>
      </c>
      <c r="M35" s="1" t="n">
        <v>13.6</v>
      </c>
      <c r="N35" s="1" t="n">
        <v>14.5</v>
      </c>
      <c r="O35" s="1" t="n">
        <v>15.7</v>
      </c>
      <c r="P35" s="1" t="n">
        <v>17</v>
      </c>
      <c r="Q35" s="1" t="n">
        <v>18.3</v>
      </c>
    </row>
    <row r="36" customFormat="false" ht="14.25" hidden="false" customHeight="true" outlineLevel="0" collapsed="false">
      <c r="A36" s="40" t="s">
        <v>72</v>
      </c>
      <c r="B36" s="42" t="n">
        <v>34</v>
      </c>
      <c r="C36" s="42" t="n">
        <v>11.2</v>
      </c>
      <c r="D36" s="42" t="n">
        <v>12.4</v>
      </c>
      <c r="E36" s="42" t="n">
        <v>14</v>
      </c>
      <c r="F36" s="42" t="n">
        <v>15.9</v>
      </c>
      <c r="G36" s="42" t="n">
        <v>17.6</v>
      </c>
      <c r="H36" s="42" t="n">
        <v>88</v>
      </c>
      <c r="I36" s="42" t="n">
        <v>91</v>
      </c>
      <c r="J36" s="42" t="n">
        <v>94.8</v>
      </c>
      <c r="K36" s="42" t="n">
        <v>98.5</v>
      </c>
      <c r="L36" s="42" t="n">
        <v>101.5</v>
      </c>
      <c r="M36" s="1" t="n">
        <v>13.5</v>
      </c>
      <c r="N36" s="1" t="n">
        <v>14.4</v>
      </c>
      <c r="O36" s="1" t="n">
        <v>15.7</v>
      </c>
      <c r="P36" s="1" t="n">
        <v>17</v>
      </c>
      <c r="Q36" s="1" t="n">
        <v>18.2</v>
      </c>
    </row>
    <row r="37" customFormat="false" ht="14.25" hidden="false" customHeight="true" outlineLevel="0" collapsed="false">
      <c r="A37" s="40" t="s">
        <v>72</v>
      </c>
      <c r="B37" s="42" t="n">
        <v>35</v>
      </c>
      <c r="C37" s="42" t="n">
        <v>11.3</v>
      </c>
      <c r="D37" s="42" t="n">
        <v>12.5</v>
      </c>
      <c r="E37" s="42" t="n">
        <v>14.2</v>
      </c>
      <c r="F37" s="42" t="n">
        <v>16.1</v>
      </c>
      <c r="G37" s="42" t="n">
        <v>17.8</v>
      </c>
      <c r="H37" s="42" t="n">
        <v>88.5</v>
      </c>
      <c r="I37" s="42" t="n">
        <v>91.6</v>
      </c>
      <c r="J37" s="42" t="n">
        <v>95.4</v>
      </c>
      <c r="K37" s="42" t="n">
        <v>99.2</v>
      </c>
      <c r="L37" s="42" t="n">
        <v>102.3</v>
      </c>
      <c r="M37" s="1" t="n">
        <v>13.5</v>
      </c>
      <c r="N37" s="1" t="n">
        <v>14.4</v>
      </c>
      <c r="O37" s="1" t="n">
        <v>15.6</v>
      </c>
      <c r="P37" s="1" t="n">
        <v>17</v>
      </c>
      <c r="Q37" s="1" t="n">
        <v>18.2</v>
      </c>
    </row>
    <row r="38" customFormat="false" ht="14.25" hidden="false" customHeight="true" outlineLevel="0" collapsed="false">
      <c r="A38" s="40" t="s">
        <v>72</v>
      </c>
      <c r="B38" s="42" t="n">
        <v>36</v>
      </c>
      <c r="C38" s="42" t="n">
        <v>11.4</v>
      </c>
      <c r="D38" s="42" t="n">
        <v>12.7</v>
      </c>
      <c r="E38" s="42" t="n">
        <v>14.3</v>
      </c>
      <c r="F38" s="42" t="n">
        <v>16.3</v>
      </c>
      <c r="G38" s="42" t="n">
        <v>18</v>
      </c>
      <c r="H38" s="42" t="n">
        <v>89.1</v>
      </c>
      <c r="I38" s="42" t="n">
        <v>92.2</v>
      </c>
      <c r="J38" s="42" t="n">
        <v>96.1</v>
      </c>
      <c r="K38" s="42" t="n">
        <v>99.9</v>
      </c>
      <c r="L38" s="42" t="n">
        <v>103.1</v>
      </c>
      <c r="M38" s="1" t="n">
        <v>13.5</v>
      </c>
      <c r="N38" s="1" t="n">
        <v>14.4</v>
      </c>
      <c r="O38" s="1" t="n">
        <v>15.6</v>
      </c>
      <c r="P38" s="1" t="n">
        <v>17</v>
      </c>
      <c r="Q38" s="1" t="n">
        <v>18.2</v>
      </c>
    </row>
    <row r="39" customFormat="false" ht="14.25" hidden="false" customHeight="true" outlineLevel="0" collapsed="false">
      <c r="A39" s="40" t="s">
        <v>72</v>
      </c>
      <c r="B39" s="42" t="n">
        <v>37</v>
      </c>
      <c r="C39" s="42" t="n">
        <v>11.6</v>
      </c>
      <c r="D39" s="42" t="n">
        <v>12.8</v>
      </c>
      <c r="E39" s="42" t="n">
        <v>14.5</v>
      </c>
      <c r="F39" s="42" t="n">
        <v>16.5</v>
      </c>
      <c r="G39" s="42" t="n">
        <v>18.3</v>
      </c>
      <c r="H39" s="42" t="n">
        <v>89.7</v>
      </c>
      <c r="I39" s="42" t="n">
        <v>92.8</v>
      </c>
      <c r="J39" s="42" t="n">
        <v>96.7</v>
      </c>
      <c r="K39" s="42" t="n">
        <v>100.6</v>
      </c>
      <c r="L39" s="42" t="n">
        <v>103.8</v>
      </c>
      <c r="M39" s="1" t="n">
        <v>13.5</v>
      </c>
      <c r="N39" s="1" t="n">
        <v>14.4</v>
      </c>
      <c r="O39" s="1" t="n">
        <v>15.6</v>
      </c>
      <c r="P39" s="1" t="n">
        <v>16.9</v>
      </c>
      <c r="Q39" s="1" t="n">
        <v>18.1</v>
      </c>
    </row>
    <row r="40" customFormat="false" ht="14.25" hidden="false" customHeight="true" outlineLevel="0" collapsed="false">
      <c r="A40" s="40" t="s">
        <v>72</v>
      </c>
      <c r="B40" s="42" t="n">
        <v>38</v>
      </c>
      <c r="C40" s="42" t="n">
        <v>11.7</v>
      </c>
      <c r="D40" s="42" t="n">
        <v>12.9</v>
      </c>
      <c r="E40" s="42" t="n">
        <v>14.7</v>
      </c>
      <c r="F40" s="42" t="n">
        <v>16.7</v>
      </c>
      <c r="G40" s="42" t="n">
        <v>18.5</v>
      </c>
      <c r="H40" s="42" t="n">
        <v>90.2</v>
      </c>
      <c r="I40" s="42" t="n">
        <v>93.4</v>
      </c>
      <c r="J40" s="42" t="n">
        <v>97.4</v>
      </c>
      <c r="K40" s="42" t="n">
        <v>101.3</v>
      </c>
      <c r="L40" s="42" t="n">
        <v>104.5</v>
      </c>
      <c r="M40" s="1" t="n">
        <v>13.4</v>
      </c>
      <c r="N40" s="1" t="n">
        <v>14.3</v>
      </c>
      <c r="O40" s="1" t="n">
        <v>15.5</v>
      </c>
      <c r="P40" s="1" t="n">
        <v>16.9</v>
      </c>
      <c r="Q40" s="1" t="n">
        <v>18.1</v>
      </c>
    </row>
    <row r="41" customFormat="false" ht="14.25" hidden="false" customHeight="true" outlineLevel="0" collapsed="false">
      <c r="A41" s="40" t="s">
        <v>72</v>
      </c>
      <c r="B41" s="42" t="n">
        <v>39</v>
      </c>
      <c r="C41" s="42" t="n">
        <v>11.8</v>
      </c>
      <c r="D41" s="42" t="n">
        <v>13.1</v>
      </c>
      <c r="E41" s="42" t="n">
        <v>14.8</v>
      </c>
      <c r="F41" s="42" t="n">
        <v>16.9</v>
      </c>
      <c r="G41" s="42" t="n">
        <v>18.7</v>
      </c>
      <c r="H41" s="42" t="n">
        <v>90.8</v>
      </c>
      <c r="I41" s="42" t="n">
        <v>94</v>
      </c>
      <c r="J41" s="42" t="n">
        <v>98</v>
      </c>
      <c r="K41" s="42" t="n">
        <v>102</v>
      </c>
      <c r="L41" s="42" t="n">
        <v>105.2</v>
      </c>
      <c r="M41" s="1" t="n">
        <v>13.4</v>
      </c>
      <c r="N41" s="1" t="n">
        <v>14.3</v>
      </c>
      <c r="O41" s="1" t="n">
        <v>15.5</v>
      </c>
      <c r="P41" s="1" t="n">
        <v>16.9</v>
      </c>
      <c r="Q41" s="1" t="n">
        <v>18.1</v>
      </c>
    </row>
    <row r="42" customFormat="false" ht="14.25" hidden="false" customHeight="true" outlineLevel="0" collapsed="false">
      <c r="A42" s="40" t="s">
        <v>72</v>
      </c>
      <c r="B42" s="42" t="n">
        <v>40</v>
      </c>
      <c r="C42" s="42" t="n">
        <v>11.9</v>
      </c>
      <c r="D42" s="42" t="n">
        <v>13.2</v>
      </c>
      <c r="E42" s="42" t="n">
        <v>15</v>
      </c>
      <c r="F42" s="42" t="n">
        <v>17.1</v>
      </c>
      <c r="G42" s="42" t="n">
        <v>19</v>
      </c>
      <c r="H42" s="42" t="n">
        <v>91.3</v>
      </c>
      <c r="I42" s="42" t="n">
        <v>94.6</v>
      </c>
      <c r="J42" s="42" t="n">
        <v>98.6</v>
      </c>
      <c r="K42" s="42" t="n">
        <v>102.7</v>
      </c>
      <c r="L42" s="42" t="n">
        <v>105.9</v>
      </c>
      <c r="M42" s="1" t="n">
        <v>13.4</v>
      </c>
      <c r="N42" s="1" t="n">
        <v>14.3</v>
      </c>
      <c r="O42" s="1" t="n">
        <v>15.5</v>
      </c>
      <c r="P42" s="1" t="n">
        <v>16.8</v>
      </c>
      <c r="Q42" s="1" t="n">
        <v>18.1</v>
      </c>
    </row>
    <row r="43" customFormat="false" ht="14.25" hidden="false" customHeight="true" outlineLevel="0" collapsed="false">
      <c r="A43" s="40" t="s">
        <v>72</v>
      </c>
      <c r="B43" s="42" t="n">
        <v>41</v>
      </c>
      <c r="C43" s="42" t="n">
        <v>12.1</v>
      </c>
      <c r="D43" s="42" t="n">
        <v>13.4</v>
      </c>
      <c r="E43" s="42" t="n">
        <v>15.2</v>
      </c>
      <c r="F43" s="42" t="n">
        <v>17.3</v>
      </c>
      <c r="G43" s="42" t="n">
        <v>19.2</v>
      </c>
      <c r="H43" s="42" t="n">
        <v>91.9</v>
      </c>
      <c r="I43" s="42" t="n">
        <v>95.2</v>
      </c>
      <c r="J43" s="42" t="n">
        <v>99.2</v>
      </c>
      <c r="K43" s="42" t="n">
        <v>103.3</v>
      </c>
      <c r="L43" s="42" t="n">
        <v>106.6</v>
      </c>
      <c r="M43" s="1" t="n">
        <v>13.3</v>
      </c>
      <c r="N43" s="1" t="n">
        <v>14.2</v>
      </c>
      <c r="O43" s="1" t="n">
        <v>15.5</v>
      </c>
      <c r="P43" s="1" t="n">
        <v>16.8</v>
      </c>
      <c r="Q43" s="1" t="n">
        <v>18</v>
      </c>
    </row>
    <row r="44" customFormat="false" ht="14.25" hidden="false" customHeight="true" outlineLevel="0" collapsed="false">
      <c r="A44" s="40" t="s">
        <v>72</v>
      </c>
      <c r="B44" s="42" t="n">
        <v>42</v>
      </c>
      <c r="C44" s="42" t="n">
        <v>12.2</v>
      </c>
      <c r="D44" s="42" t="n">
        <v>13.5</v>
      </c>
      <c r="E44" s="42" t="n">
        <v>15.3</v>
      </c>
      <c r="F44" s="42" t="n">
        <v>17.5</v>
      </c>
      <c r="G44" s="42" t="n">
        <v>19.4</v>
      </c>
      <c r="H44" s="42" t="n">
        <v>92.4</v>
      </c>
      <c r="I44" s="42" t="n">
        <v>95.7</v>
      </c>
      <c r="J44" s="42" t="n">
        <v>99.9</v>
      </c>
      <c r="K44" s="42" t="n">
        <v>104</v>
      </c>
      <c r="L44" s="42" t="n">
        <v>107.3</v>
      </c>
      <c r="M44" s="1" t="n">
        <v>13.3</v>
      </c>
      <c r="N44" s="1" t="n">
        <v>14.2</v>
      </c>
      <c r="O44" s="1" t="n">
        <v>15.4</v>
      </c>
      <c r="P44" s="1" t="n">
        <v>16.8</v>
      </c>
      <c r="Q44" s="1" t="n">
        <v>18</v>
      </c>
    </row>
    <row r="45" customFormat="false" ht="14.25" hidden="false" customHeight="true" outlineLevel="0" collapsed="false">
      <c r="A45" s="40" t="s">
        <v>72</v>
      </c>
      <c r="B45" s="42" t="n">
        <v>43</v>
      </c>
      <c r="C45" s="42" t="n">
        <v>12.3</v>
      </c>
      <c r="D45" s="42" t="n">
        <v>13.6</v>
      </c>
      <c r="E45" s="42" t="n">
        <v>15.5</v>
      </c>
      <c r="F45" s="42" t="n">
        <v>17.7</v>
      </c>
      <c r="G45" s="42" t="n">
        <v>19.7</v>
      </c>
      <c r="H45" s="42" t="n">
        <v>92.9</v>
      </c>
      <c r="I45" s="42" t="n">
        <v>96.3</v>
      </c>
      <c r="J45" s="42" t="n">
        <v>100.4</v>
      </c>
      <c r="K45" s="42" t="n">
        <v>104.6</v>
      </c>
      <c r="L45" s="42" t="n">
        <v>108</v>
      </c>
      <c r="M45" s="1" t="n">
        <v>13.3</v>
      </c>
      <c r="N45" s="1" t="n">
        <v>14.2</v>
      </c>
      <c r="O45" s="1" t="n">
        <v>15.4</v>
      </c>
      <c r="P45" s="1" t="n">
        <v>16.8</v>
      </c>
      <c r="Q45" s="1" t="n">
        <v>18</v>
      </c>
    </row>
    <row r="46" customFormat="false" ht="14.25" hidden="false" customHeight="true" outlineLevel="0" collapsed="false">
      <c r="A46" s="40" t="s">
        <v>72</v>
      </c>
      <c r="B46" s="42" t="n">
        <v>44</v>
      </c>
      <c r="C46" s="42" t="n">
        <v>12.4</v>
      </c>
      <c r="D46" s="42" t="n">
        <v>13.8</v>
      </c>
      <c r="E46" s="42" t="n">
        <v>15.7</v>
      </c>
      <c r="F46" s="42" t="n">
        <v>17.9</v>
      </c>
      <c r="G46" s="42" t="n">
        <v>19.9</v>
      </c>
      <c r="H46" s="42" t="n">
        <v>93.4</v>
      </c>
      <c r="I46" s="42" t="n">
        <v>96.8</v>
      </c>
      <c r="J46" s="42" t="n">
        <v>101</v>
      </c>
      <c r="K46" s="42" t="n">
        <v>105.2</v>
      </c>
      <c r="L46" s="42" t="n">
        <v>108.6</v>
      </c>
      <c r="M46" s="1" t="n">
        <v>13.3</v>
      </c>
      <c r="N46" s="1" t="n">
        <v>14.2</v>
      </c>
      <c r="O46" s="1" t="n">
        <v>15.4</v>
      </c>
      <c r="P46" s="1" t="n">
        <v>16.8</v>
      </c>
      <c r="Q46" s="1" t="n">
        <v>18</v>
      </c>
    </row>
    <row r="47" customFormat="false" ht="14.25" hidden="false" customHeight="true" outlineLevel="0" collapsed="false">
      <c r="A47" s="40" t="s">
        <v>72</v>
      </c>
      <c r="B47" s="42" t="n">
        <v>45</v>
      </c>
      <c r="C47" s="42" t="n">
        <v>12.5</v>
      </c>
      <c r="D47" s="42" t="n">
        <v>13.9</v>
      </c>
      <c r="E47" s="42" t="n">
        <v>15.8</v>
      </c>
      <c r="F47" s="42" t="n">
        <v>18.1</v>
      </c>
      <c r="G47" s="42" t="n">
        <v>20.1</v>
      </c>
      <c r="H47" s="42" t="n">
        <v>93.9</v>
      </c>
      <c r="I47" s="42" t="n">
        <v>97.4</v>
      </c>
      <c r="J47" s="42" t="n">
        <v>101.6</v>
      </c>
      <c r="K47" s="42" t="n">
        <v>105.8</v>
      </c>
      <c r="L47" s="42" t="n">
        <v>109.3</v>
      </c>
      <c r="M47" s="1" t="n">
        <v>13.2</v>
      </c>
      <c r="N47" s="1" t="n">
        <v>14.2</v>
      </c>
      <c r="O47" s="1" t="n">
        <v>15.4</v>
      </c>
      <c r="P47" s="1" t="n">
        <v>16.8</v>
      </c>
      <c r="Q47" s="1" t="n">
        <v>18</v>
      </c>
    </row>
    <row r="48" customFormat="false" ht="14.25" hidden="false" customHeight="true" outlineLevel="0" collapsed="false">
      <c r="A48" s="40" t="s">
        <v>72</v>
      </c>
      <c r="B48" s="42" t="n">
        <v>46</v>
      </c>
      <c r="C48" s="42" t="n">
        <v>12.7</v>
      </c>
      <c r="D48" s="42" t="n">
        <v>14.1</v>
      </c>
      <c r="E48" s="42" t="n">
        <v>16</v>
      </c>
      <c r="F48" s="42" t="n">
        <v>18.3</v>
      </c>
      <c r="G48" s="42" t="n">
        <v>20.4</v>
      </c>
      <c r="H48" s="42" t="n">
        <v>94.4</v>
      </c>
      <c r="I48" s="42" t="n">
        <v>97.9</v>
      </c>
      <c r="J48" s="42" t="n">
        <v>102.2</v>
      </c>
      <c r="K48" s="42" t="n">
        <v>106.5</v>
      </c>
      <c r="L48" s="42" t="n">
        <v>109.9</v>
      </c>
      <c r="M48" s="1" t="n">
        <v>13.2</v>
      </c>
      <c r="N48" s="1" t="n">
        <v>14.1</v>
      </c>
      <c r="O48" s="1" t="n">
        <v>15.4</v>
      </c>
      <c r="P48" s="1" t="n">
        <v>16.7</v>
      </c>
      <c r="Q48" s="1" t="n">
        <v>18</v>
      </c>
    </row>
    <row r="49" customFormat="false" ht="14.25" hidden="false" customHeight="true" outlineLevel="0" collapsed="false">
      <c r="A49" s="40" t="s">
        <v>72</v>
      </c>
      <c r="B49" s="42" t="n">
        <v>47</v>
      </c>
      <c r="C49" s="42" t="n">
        <v>12.8</v>
      </c>
      <c r="D49" s="42" t="n">
        <v>14.2</v>
      </c>
      <c r="E49" s="42" t="n">
        <v>16.2</v>
      </c>
      <c r="F49" s="42" t="n">
        <v>18.5</v>
      </c>
      <c r="G49" s="42" t="n">
        <v>20.6</v>
      </c>
      <c r="H49" s="42" t="n">
        <v>94.9</v>
      </c>
      <c r="I49" s="42" t="n">
        <v>98.5</v>
      </c>
      <c r="J49" s="42" t="n">
        <v>102.8</v>
      </c>
      <c r="K49" s="42" t="n">
        <v>107.1</v>
      </c>
      <c r="L49" s="42" t="n">
        <v>110.6</v>
      </c>
      <c r="M49" s="1" t="n">
        <v>13.2</v>
      </c>
      <c r="N49" s="1" t="n">
        <v>14.1</v>
      </c>
      <c r="O49" s="1" t="n">
        <v>15.3</v>
      </c>
      <c r="P49" s="1" t="n">
        <v>16.7</v>
      </c>
      <c r="Q49" s="1" t="n">
        <v>18</v>
      </c>
    </row>
    <row r="50" customFormat="false" ht="14.25" hidden="false" customHeight="true" outlineLevel="0" collapsed="false">
      <c r="A50" s="40" t="s">
        <v>72</v>
      </c>
      <c r="B50" s="42" t="n">
        <v>48</v>
      </c>
      <c r="C50" s="42" t="n">
        <v>12.9</v>
      </c>
      <c r="D50" s="42" t="n">
        <v>14.3</v>
      </c>
      <c r="E50" s="42" t="n">
        <v>16.3</v>
      </c>
      <c r="F50" s="42" t="n">
        <v>18.7</v>
      </c>
      <c r="G50" s="42" t="n">
        <v>20.9</v>
      </c>
      <c r="H50" s="42" t="n">
        <v>95.4</v>
      </c>
      <c r="I50" s="42" t="n">
        <v>99</v>
      </c>
      <c r="J50" s="42" t="n">
        <v>103.3</v>
      </c>
      <c r="K50" s="42" t="n">
        <v>107.7</v>
      </c>
      <c r="L50" s="42" t="n">
        <v>111.2</v>
      </c>
      <c r="M50" s="1" t="n">
        <v>13.2</v>
      </c>
      <c r="N50" s="1" t="n">
        <v>14.1</v>
      </c>
      <c r="O50" s="1" t="n">
        <v>15.3</v>
      </c>
      <c r="P50" s="1" t="n">
        <v>16.7</v>
      </c>
      <c r="Q50" s="1" t="n">
        <v>18</v>
      </c>
    </row>
    <row r="51" customFormat="false" ht="14.25" hidden="false" customHeight="true" outlineLevel="0" collapsed="false">
      <c r="A51" s="40" t="s">
        <v>72</v>
      </c>
      <c r="B51" s="42" t="n">
        <v>49</v>
      </c>
      <c r="C51" s="42" t="n">
        <v>13</v>
      </c>
      <c r="D51" s="42" t="n">
        <v>14.5</v>
      </c>
      <c r="E51" s="42" t="n">
        <v>16.5</v>
      </c>
      <c r="F51" s="42" t="n">
        <v>18.9</v>
      </c>
      <c r="G51" s="42" t="n">
        <v>21.1</v>
      </c>
      <c r="H51" s="42" t="n">
        <v>95.9</v>
      </c>
      <c r="I51" s="42" t="n">
        <v>99.5</v>
      </c>
      <c r="J51" s="42" t="n">
        <v>103.9</v>
      </c>
      <c r="K51" s="42" t="n">
        <v>108.3</v>
      </c>
      <c r="L51" s="42" t="n">
        <v>111.8</v>
      </c>
      <c r="M51" s="1" t="n">
        <v>13.2</v>
      </c>
      <c r="N51" s="1" t="n">
        <v>14.1</v>
      </c>
      <c r="O51" s="1" t="n">
        <v>15.3</v>
      </c>
      <c r="P51" s="1" t="n">
        <v>16.7</v>
      </c>
      <c r="Q51" s="1" t="n">
        <v>18</v>
      </c>
    </row>
    <row r="52" customFormat="false" ht="14.25" hidden="false" customHeight="true" outlineLevel="0" collapsed="false">
      <c r="A52" s="40" t="s">
        <v>72</v>
      </c>
      <c r="B52" s="42" t="n">
        <v>50</v>
      </c>
      <c r="C52" s="42" t="n">
        <v>13.1</v>
      </c>
      <c r="D52" s="42" t="n">
        <v>14.6</v>
      </c>
      <c r="E52" s="42" t="n">
        <v>16.7</v>
      </c>
      <c r="F52" s="42" t="n">
        <v>19.1</v>
      </c>
      <c r="G52" s="42" t="n">
        <v>21.3</v>
      </c>
      <c r="H52" s="42" t="n">
        <v>96.4</v>
      </c>
      <c r="I52" s="42" t="n">
        <v>100</v>
      </c>
      <c r="J52" s="42" t="n">
        <v>104.4</v>
      </c>
      <c r="K52" s="42" t="n">
        <v>108.9</v>
      </c>
      <c r="L52" s="42" t="n">
        <v>112.5</v>
      </c>
      <c r="M52" s="1" t="n">
        <v>13.2</v>
      </c>
      <c r="N52" s="1" t="n">
        <v>14.1</v>
      </c>
      <c r="O52" s="1" t="n">
        <v>15.3</v>
      </c>
      <c r="P52" s="1" t="n">
        <v>16.7</v>
      </c>
      <c r="Q52" s="1" t="n">
        <v>18</v>
      </c>
    </row>
    <row r="53" customFormat="false" ht="14.25" hidden="false" customHeight="true" outlineLevel="0" collapsed="false">
      <c r="A53" s="40" t="s">
        <v>72</v>
      </c>
      <c r="B53" s="42" t="n">
        <v>51</v>
      </c>
      <c r="C53" s="42" t="n">
        <v>13.3</v>
      </c>
      <c r="D53" s="42" t="n">
        <v>14.7</v>
      </c>
      <c r="E53" s="42" t="n">
        <v>16.8</v>
      </c>
      <c r="F53" s="42" t="n">
        <v>19.3</v>
      </c>
      <c r="G53" s="42" t="n">
        <v>21.6</v>
      </c>
      <c r="H53" s="42" t="n">
        <v>96.9</v>
      </c>
      <c r="I53" s="42" t="n">
        <v>100.5</v>
      </c>
      <c r="J53" s="42" t="n">
        <v>105</v>
      </c>
      <c r="K53" s="42" t="n">
        <v>109.5</v>
      </c>
      <c r="L53" s="42" t="n">
        <v>113.1</v>
      </c>
      <c r="M53" s="1" t="n">
        <v>13.1</v>
      </c>
      <c r="N53" s="1" t="n">
        <v>14</v>
      </c>
      <c r="O53" s="1" t="n">
        <v>15.3</v>
      </c>
      <c r="P53" s="1" t="n">
        <v>16.7</v>
      </c>
      <c r="Q53" s="1" t="n">
        <v>18</v>
      </c>
    </row>
    <row r="54" customFormat="false" ht="14.25" hidden="false" customHeight="true" outlineLevel="0" collapsed="false">
      <c r="A54" s="40" t="s">
        <v>72</v>
      </c>
      <c r="B54" s="42" t="n">
        <v>52</v>
      </c>
      <c r="C54" s="42" t="n">
        <v>13.4</v>
      </c>
      <c r="D54" s="42" t="n">
        <v>14.9</v>
      </c>
      <c r="E54" s="42" t="n">
        <v>17</v>
      </c>
      <c r="F54" s="42" t="n">
        <v>19.5</v>
      </c>
      <c r="G54" s="42" t="n">
        <v>21.8</v>
      </c>
      <c r="H54" s="42" t="n">
        <v>97.4</v>
      </c>
      <c r="I54" s="42" t="n">
        <v>101.1</v>
      </c>
      <c r="J54" s="42" t="n">
        <v>105.6</v>
      </c>
      <c r="K54" s="42" t="n">
        <v>110.1</v>
      </c>
      <c r="L54" s="42" t="n">
        <v>113.7</v>
      </c>
      <c r="M54" s="1" t="n">
        <v>13.1</v>
      </c>
      <c r="N54" s="1" t="n">
        <v>14</v>
      </c>
      <c r="O54" s="1" t="n">
        <v>15.3</v>
      </c>
      <c r="P54" s="1" t="n">
        <v>16.7</v>
      </c>
      <c r="Q54" s="1" t="n">
        <v>18</v>
      </c>
    </row>
    <row r="55" customFormat="false" ht="14.25" hidden="false" customHeight="true" outlineLevel="0" collapsed="false">
      <c r="A55" s="40" t="s">
        <v>72</v>
      </c>
      <c r="B55" s="42" t="n">
        <v>53</v>
      </c>
      <c r="C55" s="42" t="n">
        <v>13.5</v>
      </c>
      <c r="D55" s="42" t="n">
        <v>15</v>
      </c>
      <c r="E55" s="42" t="n">
        <v>17.2</v>
      </c>
      <c r="F55" s="42" t="n">
        <v>19.7</v>
      </c>
      <c r="G55" s="42" t="n">
        <v>22.1</v>
      </c>
      <c r="H55" s="42" t="n">
        <v>97.9</v>
      </c>
      <c r="I55" s="42" t="n">
        <v>101.6</v>
      </c>
      <c r="J55" s="42" t="n">
        <v>106.1</v>
      </c>
      <c r="K55" s="42" t="n">
        <v>110.7</v>
      </c>
      <c r="L55" s="42" t="n">
        <v>114.3</v>
      </c>
      <c r="M55" s="1" t="n">
        <v>13.1</v>
      </c>
      <c r="N55" s="1" t="n">
        <v>14</v>
      </c>
      <c r="O55" s="1" t="n">
        <v>15.3</v>
      </c>
      <c r="P55" s="1" t="n">
        <v>16.7</v>
      </c>
      <c r="Q55" s="1" t="n">
        <v>18</v>
      </c>
    </row>
    <row r="56" customFormat="false" ht="14.25" hidden="false" customHeight="true" outlineLevel="0" collapsed="false">
      <c r="A56" s="40" t="s">
        <v>72</v>
      </c>
      <c r="B56" s="42" t="n">
        <v>54</v>
      </c>
      <c r="C56" s="42" t="n">
        <v>13.6</v>
      </c>
      <c r="D56" s="42" t="n">
        <v>15.2</v>
      </c>
      <c r="E56" s="42" t="n">
        <v>17.3</v>
      </c>
      <c r="F56" s="42" t="n">
        <v>19.9</v>
      </c>
      <c r="G56" s="42" t="n">
        <v>22.3</v>
      </c>
      <c r="H56" s="42" t="n">
        <v>98.4</v>
      </c>
      <c r="I56" s="42" t="n">
        <v>102.1</v>
      </c>
      <c r="J56" s="42" t="n">
        <v>106.7</v>
      </c>
      <c r="K56" s="42" t="n">
        <v>111.2</v>
      </c>
      <c r="L56" s="42" t="n">
        <v>115</v>
      </c>
      <c r="M56" s="1" t="n">
        <v>13.1</v>
      </c>
      <c r="N56" s="1" t="n">
        <v>14</v>
      </c>
      <c r="O56" s="1" t="n">
        <v>15.3</v>
      </c>
      <c r="P56" s="1" t="n">
        <v>16.7</v>
      </c>
      <c r="Q56" s="1" t="n">
        <v>18</v>
      </c>
    </row>
    <row r="57" customFormat="false" ht="14.25" hidden="false" customHeight="true" outlineLevel="0" collapsed="false">
      <c r="A57" s="40" t="s">
        <v>72</v>
      </c>
      <c r="B57" s="42" t="n">
        <v>55</v>
      </c>
      <c r="C57" s="42" t="n">
        <v>13.7</v>
      </c>
      <c r="D57" s="42" t="n">
        <v>15.3</v>
      </c>
      <c r="E57" s="42" t="n">
        <v>17.5</v>
      </c>
      <c r="F57" s="42" t="n">
        <v>20.1</v>
      </c>
      <c r="G57" s="42" t="n">
        <v>22.5</v>
      </c>
      <c r="H57" s="42" t="n">
        <v>98.8</v>
      </c>
      <c r="I57" s="42" t="n">
        <v>102.6</v>
      </c>
      <c r="J57" s="42" t="n">
        <v>107.2</v>
      </c>
      <c r="K57" s="42" t="n">
        <v>111.8</v>
      </c>
      <c r="L57" s="42" t="n">
        <v>115.6</v>
      </c>
      <c r="M57" s="1" t="n">
        <v>13.1</v>
      </c>
      <c r="N57" s="1" t="n">
        <v>14</v>
      </c>
      <c r="O57" s="1" t="n">
        <v>15.2</v>
      </c>
      <c r="P57" s="1" t="n">
        <v>16.7</v>
      </c>
      <c r="Q57" s="1" t="n">
        <v>18</v>
      </c>
    </row>
    <row r="58" customFormat="false" ht="14.25" hidden="false" customHeight="true" outlineLevel="0" collapsed="false">
      <c r="A58" s="40" t="s">
        <v>72</v>
      </c>
      <c r="B58" s="42" t="n">
        <v>56</v>
      </c>
      <c r="C58" s="42" t="n">
        <v>13.8</v>
      </c>
      <c r="D58" s="42" t="n">
        <v>15.4</v>
      </c>
      <c r="E58" s="42" t="n">
        <v>17.7</v>
      </c>
      <c r="F58" s="42" t="n">
        <v>20.3</v>
      </c>
      <c r="G58" s="42" t="n">
        <v>22.8</v>
      </c>
      <c r="H58" s="42" t="n">
        <v>99.3</v>
      </c>
      <c r="I58" s="42" t="n">
        <v>103.1</v>
      </c>
      <c r="J58" s="42" t="n">
        <v>107.8</v>
      </c>
      <c r="K58" s="42" t="n">
        <v>112.4</v>
      </c>
      <c r="L58" s="42" t="n">
        <v>116.2</v>
      </c>
      <c r="M58" s="1" t="n">
        <v>13.1</v>
      </c>
      <c r="N58" s="1" t="n">
        <v>14</v>
      </c>
      <c r="O58" s="1" t="n">
        <v>15.2</v>
      </c>
      <c r="P58" s="1" t="n">
        <v>16.7</v>
      </c>
      <c r="Q58" s="1" t="n">
        <v>18</v>
      </c>
    </row>
    <row r="59" customFormat="false" ht="14.25" hidden="false" customHeight="true" outlineLevel="0" collapsed="false">
      <c r="A59" s="40" t="s">
        <v>72</v>
      </c>
      <c r="B59" s="42" t="n">
        <v>57</v>
      </c>
      <c r="C59" s="42" t="n">
        <v>13.9</v>
      </c>
      <c r="D59" s="42" t="n">
        <v>15.6</v>
      </c>
      <c r="E59" s="42" t="n">
        <v>17.8</v>
      </c>
      <c r="F59" s="42" t="n">
        <v>20.5</v>
      </c>
      <c r="G59" s="42" t="n">
        <v>23</v>
      </c>
      <c r="H59" s="42" t="n">
        <v>99.8</v>
      </c>
      <c r="I59" s="42" t="n">
        <v>103.6</v>
      </c>
      <c r="J59" s="42" t="n">
        <v>108.3</v>
      </c>
      <c r="K59" s="42" t="n">
        <v>113</v>
      </c>
      <c r="L59" s="42" t="n">
        <v>116.8</v>
      </c>
      <c r="M59" s="1" t="n">
        <v>13</v>
      </c>
      <c r="N59" s="1" t="n">
        <v>14</v>
      </c>
      <c r="O59" s="1" t="n">
        <v>15.2</v>
      </c>
      <c r="P59" s="1" t="n">
        <v>16.7</v>
      </c>
      <c r="Q59" s="1" t="n">
        <v>18</v>
      </c>
    </row>
    <row r="60" customFormat="false" ht="14.25" hidden="false" customHeight="true" outlineLevel="0" collapsed="false">
      <c r="A60" s="40" t="s">
        <v>72</v>
      </c>
      <c r="B60" s="42" t="n">
        <v>58</v>
      </c>
      <c r="C60" s="42" t="n">
        <v>14.1</v>
      </c>
      <c r="D60" s="42" t="n">
        <v>15.7</v>
      </c>
      <c r="E60" s="42" t="n">
        <v>18</v>
      </c>
      <c r="F60" s="42" t="n">
        <v>20.7</v>
      </c>
      <c r="G60" s="42" t="n">
        <v>23.3</v>
      </c>
      <c r="H60" s="42" t="n">
        <v>100.3</v>
      </c>
      <c r="I60" s="42" t="n">
        <v>104.1</v>
      </c>
      <c r="J60" s="42" t="n">
        <v>108.9</v>
      </c>
      <c r="K60" s="42" t="n">
        <v>113.6</v>
      </c>
      <c r="L60" s="42" t="n">
        <v>117.4</v>
      </c>
      <c r="M60" s="1" t="n">
        <v>13</v>
      </c>
      <c r="N60" s="1" t="n">
        <v>13.9</v>
      </c>
      <c r="O60" s="1" t="n">
        <v>15.2</v>
      </c>
      <c r="P60" s="1" t="n">
        <v>16.7</v>
      </c>
      <c r="Q60" s="1" t="n">
        <v>18</v>
      </c>
    </row>
    <row r="61" customFormat="false" ht="14.25" hidden="false" customHeight="true" outlineLevel="0" collapsed="false">
      <c r="A61" s="40" t="s">
        <v>72</v>
      </c>
      <c r="B61" s="42" t="n">
        <v>59</v>
      </c>
      <c r="C61" s="42" t="n">
        <v>14.2</v>
      </c>
      <c r="D61" s="42" t="n">
        <v>15.8</v>
      </c>
      <c r="E61" s="42" t="n">
        <v>18.2</v>
      </c>
      <c r="F61" s="42" t="n">
        <v>20.9</v>
      </c>
      <c r="G61" s="42" t="n">
        <v>23.5</v>
      </c>
      <c r="H61" s="42" t="n">
        <v>100.8</v>
      </c>
      <c r="I61" s="42" t="n">
        <v>104.7</v>
      </c>
      <c r="J61" s="42" t="n">
        <v>109.4</v>
      </c>
      <c r="K61" s="42" t="n">
        <v>114.2</v>
      </c>
      <c r="L61" s="42" t="n">
        <v>118.1</v>
      </c>
      <c r="M61" s="1" t="n">
        <v>13</v>
      </c>
      <c r="N61" s="1" t="n">
        <v>13.9</v>
      </c>
      <c r="O61" s="1" t="n">
        <v>15.2</v>
      </c>
      <c r="P61" s="1" t="n">
        <v>16.7</v>
      </c>
      <c r="Q61" s="1" t="n">
        <v>18.1</v>
      </c>
    </row>
    <row r="62" customFormat="false" ht="14.25" hidden="false" customHeight="true" outlineLevel="0" collapsed="false">
      <c r="A62" s="40" t="s">
        <v>72</v>
      </c>
      <c r="B62" s="42" t="n">
        <v>60</v>
      </c>
      <c r="C62" s="42" t="n">
        <v>14.3</v>
      </c>
      <c r="D62" s="42" t="n">
        <v>16</v>
      </c>
      <c r="E62" s="42" t="n">
        <v>18.3</v>
      </c>
      <c r="F62" s="42" t="n">
        <v>21.1</v>
      </c>
      <c r="G62" s="42" t="n">
        <v>23.8</v>
      </c>
      <c r="H62" s="42" t="n">
        <v>101.2</v>
      </c>
      <c r="I62" s="42" t="n">
        <v>105.2</v>
      </c>
      <c r="J62" s="42" t="n">
        <v>110</v>
      </c>
      <c r="K62" s="42" t="n">
        <v>114.8</v>
      </c>
      <c r="L62" s="42" t="n">
        <v>118.7</v>
      </c>
      <c r="M62" s="1" t="n">
        <v>13</v>
      </c>
      <c r="N62" s="1" t="n">
        <v>13.9</v>
      </c>
      <c r="O62" s="1" t="n">
        <v>15.2</v>
      </c>
      <c r="P62" s="1" t="n">
        <v>16.7</v>
      </c>
      <c r="Q62" s="1" t="n">
        <v>18.1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F9" activeCellId="0" sqref="F9"/>
    </sheetView>
  </sheetViews>
  <sheetFormatPr defaultColWidth="12.0390625" defaultRowHeight="14.25" zeroHeight="false" outlineLevelRow="0" outlineLevelCol="0"/>
  <cols>
    <col collapsed="false" customWidth="true" hidden="false" outlineLevel="0" max="3" min="1" style="1" width="12.89"/>
    <col collapsed="false" customWidth="true" hidden="false" outlineLevel="0" max="8" min="8" style="1" width="13.02"/>
    <col collapsed="false" customWidth="true" hidden="false" outlineLevel="0" max="9" min="9" style="1" width="14.21"/>
    <col collapsed="false" customWidth="true" hidden="false" outlineLevel="0" max="10" min="10" style="1" width="14.55"/>
    <col collapsed="false" customWidth="true" hidden="false" outlineLevel="0" max="13" min="11" style="1" width="14.81"/>
  </cols>
  <sheetData>
    <row r="1" customFormat="false" ht="22.5" hidden="false" customHeight="true" outlineLevel="0" collapsed="false">
      <c r="A1" s="43" t="s">
        <v>5</v>
      </c>
      <c r="B1" s="44" t="s">
        <v>8</v>
      </c>
      <c r="C1" s="44" t="s">
        <v>57</v>
      </c>
      <c r="D1" s="44" t="s">
        <v>58</v>
      </c>
      <c r="E1" s="44" t="s">
        <v>59</v>
      </c>
      <c r="F1" s="44" t="s">
        <v>60</v>
      </c>
      <c r="G1" s="44" t="s">
        <v>61</v>
      </c>
      <c r="H1" s="44" t="s">
        <v>62</v>
      </c>
      <c r="I1" s="44" t="s">
        <v>63</v>
      </c>
      <c r="J1" s="44" t="s">
        <v>64</v>
      </c>
      <c r="K1" s="44" t="s">
        <v>65</v>
      </c>
      <c r="L1" s="44" t="s">
        <v>66</v>
      </c>
      <c r="M1" s="44" t="s">
        <v>67</v>
      </c>
      <c r="N1" s="44" t="s">
        <v>68</v>
      </c>
      <c r="O1" s="44" t="s">
        <v>69</v>
      </c>
      <c r="P1" s="44" t="s">
        <v>70</v>
      </c>
      <c r="Q1" s="44" t="s">
        <v>71</v>
      </c>
    </row>
    <row r="2" customFormat="false" ht="13.5" hidden="false" customHeight="true" outlineLevel="0" collapsed="false">
      <c r="A2" s="45" t="s">
        <v>6</v>
      </c>
      <c r="B2" s="46" t="n">
        <v>0</v>
      </c>
      <c r="C2" s="47" t="n">
        <v>2.4</v>
      </c>
      <c r="D2" s="47" t="n">
        <v>2.8</v>
      </c>
      <c r="E2" s="47" t="n">
        <v>3.2</v>
      </c>
      <c r="F2" s="47" t="n">
        <v>3.7</v>
      </c>
      <c r="G2" s="47" t="n">
        <v>4.2</v>
      </c>
      <c r="H2" s="47" t="n">
        <v>45.6</v>
      </c>
      <c r="I2" s="47" t="n">
        <v>47.2</v>
      </c>
      <c r="J2" s="47" t="n">
        <v>49.1</v>
      </c>
      <c r="K2" s="47" t="n">
        <v>51.1</v>
      </c>
      <c r="L2" s="47" t="n">
        <v>52.7</v>
      </c>
      <c r="M2" s="47" t="n">
        <v>11.2</v>
      </c>
      <c r="N2" s="47" t="n">
        <v>12.1</v>
      </c>
      <c r="O2" s="47" t="n">
        <v>13.3</v>
      </c>
      <c r="P2" s="47" t="n">
        <v>14.7</v>
      </c>
      <c r="Q2" s="47" t="n">
        <v>15.9</v>
      </c>
    </row>
    <row r="3" customFormat="false" ht="13.5" hidden="false" customHeight="true" outlineLevel="0" collapsed="false">
      <c r="A3" s="45" t="s">
        <v>6</v>
      </c>
      <c r="B3" s="46" t="n">
        <v>1</v>
      </c>
      <c r="C3" s="47" t="n">
        <v>3.2</v>
      </c>
      <c r="D3" s="47" t="n">
        <v>3.6</v>
      </c>
      <c r="E3" s="47" t="n">
        <v>4.2</v>
      </c>
      <c r="F3" s="47" t="n">
        <v>4.8</v>
      </c>
      <c r="G3" s="47" t="n">
        <v>5.4</v>
      </c>
      <c r="H3" s="47" t="n">
        <v>50</v>
      </c>
      <c r="I3" s="47" t="n">
        <v>51.7</v>
      </c>
      <c r="J3" s="47" t="n">
        <v>53.7</v>
      </c>
      <c r="K3" s="47" t="n">
        <v>55.7</v>
      </c>
      <c r="L3" s="47" t="n">
        <v>57.4</v>
      </c>
      <c r="M3" s="47" t="n">
        <v>12.1</v>
      </c>
      <c r="N3" s="47" t="n">
        <v>13.2</v>
      </c>
      <c r="O3" s="47" t="n">
        <v>14.6</v>
      </c>
      <c r="P3" s="47" t="n">
        <v>16.1</v>
      </c>
      <c r="Q3" s="47" t="n">
        <v>17.3</v>
      </c>
    </row>
    <row r="4" customFormat="false" ht="13.5" hidden="false" customHeight="true" outlineLevel="0" collapsed="false">
      <c r="A4" s="45" t="s">
        <v>6</v>
      </c>
      <c r="B4" s="46" t="n">
        <v>2</v>
      </c>
      <c r="C4" s="47" t="n">
        <v>4</v>
      </c>
      <c r="D4" s="47" t="n">
        <v>4.5</v>
      </c>
      <c r="E4" s="47" t="n">
        <v>5.1</v>
      </c>
      <c r="F4" s="47" t="n">
        <v>5.9</v>
      </c>
      <c r="G4" s="47" t="n">
        <v>6.5</v>
      </c>
      <c r="H4" s="47" t="n">
        <v>53.2</v>
      </c>
      <c r="I4" s="47" t="n">
        <v>55</v>
      </c>
      <c r="J4" s="47" t="n">
        <v>57.1</v>
      </c>
      <c r="K4" s="47" t="n">
        <v>59.2</v>
      </c>
      <c r="L4" s="47" t="n">
        <v>60.9</v>
      </c>
      <c r="M4" s="47" t="n">
        <v>13.2</v>
      </c>
      <c r="N4" s="47" t="n">
        <v>14.3</v>
      </c>
      <c r="O4" s="47" t="n">
        <v>15.8</v>
      </c>
      <c r="P4" s="47" t="n">
        <v>17.4</v>
      </c>
      <c r="Q4" s="47" t="n">
        <v>18.8</v>
      </c>
    </row>
    <row r="5" customFormat="false" ht="13.5" hidden="false" customHeight="true" outlineLevel="0" collapsed="false">
      <c r="A5" s="45" t="s">
        <v>6</v>
      </c>
      <c r="B5" s="46" t="n">
        <v>3</v>
      </c>
      <c r="C5" s="47" t="n">
        <v>4.6</v>
      </c>
      <c r="D5" s="47" t="n">
        <v>5.1</v>
      </c>
      <c r="E5" s="47" t="n">
        <v>5.8</v>
      </c>
      <c r="F5" s="47" t="n">
        <v>6.7</v>
      </c>
      <c r="G5" s="47" t="n">
        <v>7.4</v>
      </c>
      <c r="H5" s="47" t="n">
        <v>55.8</v>
      </c>
      <c r="I5" s="47" t="n">
        <v>57.6</v>
      </c>
      <c r="J5" s="47" t="n">
        <v>59.8</v>
      </c>
      <c r="K5" s="47" t="n">
        <v>62</v>
      </c>
      <c r="L5" s="47" t="n">
        <v>63.8</v>
      </c>
      <c r="M5" s="47" t="n">
        <v>13.7</v>
      </c>
      <c r="N5" s="47" t="n">
        <v>14.9</v>
      </c>
      <c r="O5" s="47" t="n">
        <v>16.4</v>
      </c>
      <c r="P5" s="47" t="n">
        <v>18</v>
      </c>
      <c r="Q5" s="47" t="n">
        <v>19.4</v>
      </c>
    </row>
    <row r="6" customFormat="false" ht="13.5" hidden="false" customHeight="true" outlineLevel="0" collapsed="false">
      <c r="A6" s="45" t="s">
        <v>6</v>
      </c>
      <c r="B6" s="46" t="n">
        <v>4</v>
      </c>
      <c r="C6" s="47" t="n">
        <v>5.1</v>
      </c>
      <c r="D6" s="47" t="n">
        <v>5.6</v>
      </c>
      <c r="E6" s="47" t="n">
        <v>6.4</v>
      </c>
      <c r="F6" s="47" t="n">
        <v>7.3</v>
      </c>
      <c r="G6" s="47" t="n">
        <v>8.1</v>
      </c>
      <c r="H6" s="47" t="n">
        <v>58</v>
      </c>
      <c r="I6" s="47" t="n">
        <v>59.8</v>
      </c>
      <c r="J6" s="47" t="n">
        <v>62.1</v>
      </c>
      <c r="K6" s="47" t="n">
        <v>64.3</v>
      </c>
      <c r="L6" s="47" t="n">
        <v>66.2</v>
      </c>
      <c r="M6" s="47" t="n">
        <v>14</v>
      </c>
      <c r="N6" s="47" t="n">
        <v>15.2</v>
      </c>
      <c r="O6" s="47" t="n">
        <v>16.7</v>
      </c>
      <c r="P6" s="47" t="n">
        <v>18.3</v>
      </c>
      <c r="Q6" s="47" t="n">
        <v>19.8</v>
      </c>
    </row>
    <row r="7" customFormat="false" ht="13.5" hidden="false" customHeight="true" outlineLevel="0" collapsed="false">
      <c r="A7" s="45" t="s">
        <v>6</v>
      </c>
      <c r="B7" s="46" t="n">
        <v>5</v>
      </c>
      <c r="C7" s="47" t="n">
        <v>5.5</v>
      </c>
      <c r="D7" s="47" t="n">
        <v>6.1</v>
      </c>
      <c r="E7" s="47" t="n">
        <v>6.9</v>
      </c>
      <c r="F7" s="47" t="n">
        <v>7.8</v>
      </c>
      <c r="G7" s="47" t="n">
        <v>8.7</v>
      </c>
      <c r="H7" s="47" t="n">
        <v>59.9</v>
      </c>
      <c r="I7" s="47" t="n">
        <v>61.7</v>
      </c>
      <c r="J7" s="47" t="n">
        <v>64</v>
      </c>
      <c r="K7" s="47" t="n">
        <v>66.3</v>
      </c>
      <c r="L7" s="47" t="n">
        <v>68.2</v>
      </c>
      <c r="M7" s="47" t="n">
        <v>14.2</v>
      </c>
      <c r="N7" s="47" t="n">
        <v>15.3</v>
      </c>
      <c r="O7" s="47" t="n">
        <v>16.8</v>
      </c>
      <c r="P7" s="47" t="n">
        <v>18.5</v>
      </c>
      <c r="Q7" s="47" t="n">
        <v>20</v>
      </c>
    </row>
    <row r="8" customFormat="false" ht="13.5" hidden="false" customHeight="true" outlineLevel="0" collapsed="false">
      <c r="A8" s="45" t="s">
        <v>6</v>
      </c>
      <c r="B8" s="46" t="n">
        <v>6</v>
      </c>
      <c r="C8" s="47" t="n">
        <v>5.8</v>
      </c>
      <c r="D8" s="47" t="n">
        <v>6.4</v>
      </c>
      <c r="E8" s="47" t="n">
        <v>7.3</v>
      </c>
      <c r="F8" s="47" t="n">
        <v>8.3</v>
      </c>
      <c r="G8" s="47" t="n">
        <v>9.2</v>
      </c>
      <c r="H8" s="47" t="n">
        <v>61.5</v>
      </c>
      <c r="I8" s="47" t="n">
        <v>63.4</v>
      </c>
      <c r="J8" s="47" t="n">
        <v>65.7</v>
      </c>
      <c r="K8" s="47" t="n">
        <v>68.1</v>
      </c>
      <c r="L8" s="47" t="n">
        <v>70</v>
      </c>
      <c r="M8" s="47" t="n">
        <v>14.3</v>
      </c>
      <c r="N8" s="47" t="n">
        <v>15.4</v>
      </c>
      <c r="O8" s="47" t="n">
        <v>16.9</v>
      </c>
      <c r="P8" s="47" t="n">
        <v>18.6</v>
      </c>
      <c r="Q8" s="47" t="n">
        <v>20.1</v>
      </c>
    </row>
    <row r="9" customFormat="false" ht="13.5" hidden="false" customHeight="true" outlineLevel="0" collapsed="false">
      <c r="A9" s="45" t="s">
        <v>6</v>
      </c>
      <c r="B9" s="46" t="n">
        <v>7</v>
      </c>
      <c r="C9" s="47" t="n">
        <v>6.1</v>
      </c>
      <c r="D9" s="47" t="n">
        <v>6.7</v>
      </c>
      <c r="E9" s="47" t="n">
        <v>7.6</v>
      </c>
      <c r="F9" s="47" t="n">
        <v>8.7</v>
      </c>
      <c r="G9" s="47" t="n">
        <v>9.6</v>
      </c>
      <c r="H9" s="47" t="n">
        <v>62.9</v>
      </c>
      <c r="I9" s="47" t="n">
        <v>64.9</v>
      </c>
      <c r="J9" s="47" t="n">
        <v>67.3</v>
      </c>
      <c r="K9" s="47" t="n">
        <v>69.7</v>
      </c>
      <c r="L9" s="47" t="n">
        <v>71.6</v>
      </c>
      <c r="M9" s="47" t="n">
        <v>14.3</v>
      </c>
      <c r="N9" s="47" t="n">
        <v>15.4</v>
      </c>
      <c r="O9" s="47" t="n">
        <v>16.9</v>
      </c>
      <c r="P9" s="47" t="n">
        <v>18.6</v>
      </c>
      <c r="Q9" s="47" t="n">
        <v>20.1</v>
      </c>
    </row>
    <row r="10" customFormat="false" ht="13.5" hidden="false" customHeight="true" outlineLevel="0" collapsed="false">
      <c r="A10" s="45" t="s">
        <v>6</v>
      </c>
      <c r="B10" s="46" t="n">
        <v>8</v>
      </c>
      <c r="C10" s="47" t="n">
        <v>6.3</v>
      </c>
      <c r="D10" s="47" t="n">
        <v>7</v>
      </c>
      <c r="E10" s="47" t="n">
        <v>7.9</v>
      </c>
      <c r="F10" s="47" t="n">
        <v>9</v>
      </c>
      <c r="G10" s="47" t="n">
        <v>10</v>
      </c>
      <c r="H10" s="47" t="n">
        <v>64.3</v>
      </c>
      <c r="I10" s="47" t="n">
        <v>66.3</v>
      </c>
      <c r="J10" s="47" t="n">
        <v>68.7</v>
      </c>
      <c r="K10" s="47" t="n">
        <v>71.2</v>
      </c>
      <c r="L10" s="47" t="n">
        <v>73.2</v>
      </c>
      <c r="M10" s="47" t="n">
        <v>14.3</v>
      </c>
      <c r="N10" s="47" t="n">
        <v>15.4</v>
      </c>
      <c r="O10" s="47" t="n">
        <v>16.8</v>
      </c>
      <c r="P10" s="47" t="n">
        <v>18.5</v>
      </c>
      <c r="Q10" s="47" t="n">
        <v>20</v>
      </c>
    </row>
    <row r="11" customFormat="false" ht="13.5" hidden="false" customHeight="true" outlineLevel="0" collapsed="false">
      <c r="A11" s="45" t="s">
        <v>6</v>
      </c>
      <c r="B11" s="46" t="n">
        <v>9</v>
      </c>
      <c r="C11" s="47" t="n">
        <v>6.6</v>
      </c>
      <c r="D11" s="47" t="n">
        <v>7.3</v>
      </c>
      <c r="E11" s="47" t="n">
        <v>8.2</v>
      </c>
      <c r="F11" s="47" t="n">
        <v>9.3</v>
      </c>
      <c r="G11" s="47" t="n">
        <v>10.4</v>
      </c>
      <c r="H11" s="47" t="n">
        <v>65.6</v>
      </c>
      <c r="I11" s="47" t="n">
        <v>67.6</v>
      </c>
      <c r="J11" s="47" t="n">
        <v>70.1</v>
      </c>
      <c r="K11" s="47" t="n">
        <v>72.6</v>
      </c>
      <c r="L11" s="47" t="n">
        <v>74.7</v>
      </c>
      <c r="M11" s="47" t="n">
        <v>14.2</v>
      </c>
      <c r="N11" s="47" t="n">
        <v>15.3</v>
      </c>
      <c r="O11" s="47" t="n">
        <v>16.7</v>
      </c>
      <c r="P11" s="47" t="n">
        <v>18.4</v>
      </c>
      <c r="Q11" s="47" t="n">
        <v>19.9</v>
      </c>
    </row>
    <row r="12" customFormat="false" ht="13.5" hidden="false" customHeight="true" outlineLevel="0" collapsed="false">
      <c r="A12" s="45" t="s">
        <v>6</v>
      </c>
      <c r="B12" s="46" t="n">
        <v>10</v>
      </c>
      <c r="C12" s="47" t="n">
        <v>6.8</v>
      </c>
      <c r="D12" s="47" t="n">
        <v>7.5</v>
      </c>
      <c r="E12" s="47" t="n">
        <v>8.5</v>
      </c>
      <c r="F12" s="47" t="n">
        <v>9.6</v>
      </c>
      <c r="G12" s="47" t="n">
        <v>10.7</v>
      </c>
      <c r="H12" s="47" t="n">
        <v>66.8</v>
      </c>
      <c r="I12" s="47" t="n">
        <v>68.9</v>
      </c>
      <c r="J12" s="47" t="n">
        <v>71.5</v>
      </c>
      <c r="K12" s="47" t="n">
        <v>74</v>
      </c>
      <c r="L12" s="47" t="n">
        <v>76.1</v>
      </c>
      <c r="M12" s="47" t="n">
        <v>14.1</v>
      </c>
      <c r="N12" s="47" t="n">
        <v>15.2</v>
      </c>
      <c r="O12" s="47" t="n">
        <v>16.6</v>
      </c>
      <c r="P12" s="47" t="n">
        <v>18.2</v>
      </c>
      <c r="Q12" s="47" t="n">
        <v>19.7</v>
      </c>
    </row>
    <row r="13" customFormat="false" ht="13.5" hidden="false" customHeight="true" outlineLevel="0" collapsed="false">
      <c r="A13" s="45" t="s">
        <v>6</v>
      </c>
      <c r="B13" s="46" t="n">
        <v>11</v>
      </c>
      <c r="C13" s="47" t="n">
        <v>7</v>
      </c>
      <c r="D13" s="47" t="n">
        <v>7.7</v>
      </c>
      <c r="E13" s="47" t="n">
        <v>8.7</v>
      </c>
      <c r="F13" s="47" t="n">
        <v>9.9</v>
      </c>
      <c r="G13" s="47" t="n">
        <v>11</v>
      </c>
      <c r="H13" s="47" t="n">
        <v>68</v>
      </c>
      <c r="I13" s="47" t="n">
        <v>70.2</v>
      </c>
      <c r="J13" s="47" t="n">
        <v>72.8</v>
      </c>
      <c r="K13" s="47" t="n">
        <v>75.4</v>
      </c>
      <c r="L13" s="47" t="n">
        <v>77.5</v>
      </c>
      <c r="M13" s="47" t="n">
        <v>14</v>
      </c>
      <c r="N13" s="47" t="n">
        <v>15.1</v>
      </c>
      <c r="O13" s="47" t="n">
        <v>16.5</v>
      </c>
      <c r="P13" s="47" t="n">
        <v>18.1</v>
      </c>
      <c r="Q13" s="47" t="n">
        <v>19.6</v>
      </c>
    </row>
    <row r="14" customFormat="false" ht="13.5" hidden="false" customHeight="true" outlineLevel="0" collapsed="false">
      <c r="A14" s="45" t="s">
        <v>6</v>
      </c>
      <c r="B14" s="46" t="n">
        <v>12</v>
      </c>
      <c r="C14" s="47" t="n">
        <v>7.1</v>
      </c>
      <c r="D14" s="47" t="n">
        <v>7.9</v>
      </c>
      <c r="E14" s="47" t="n">
        <v>8.9</v>
      </c>
      <c r="F14" s="47" t="n">
        <v>10.2</v>
      </c>
      <c r="G14" s="47" t="n">
        <v>11.3</v>
      </c>
      <c r="H14" s="47" t="n">
        <v>69.2</v>
      </c>
      <c r="I14" s="47" t="n">
        <v>71.3</v>
      </c>
      <c r="J14" s="47" t="n">
        <v>74</v>
      </c>
      <c r="K14" s="47" t="n">
        <v>76.7</v>
      </c>
      <c r="L14" s="47" t="n">
        <v>78.9</v>
      </c>
      <c r="M14" s="47" t="n">
        <v>13.9</v>
      </c>
      <c r="N14" s="47" t="n">
        <v>15</v>
      </c>
      <c r="O14" s="47" t="n">
        <v>16.4</v>
      </c>
      <c r="P14" s="47" t="n">
        <v>17.9</v>
      </c>
      <c r="Q14" s="47" t="n">
        <v>19.4</v>
      </c>
    </row>
    <row r="15" customFormat="false" ht="13.5" hidden="false" customHeight="true" outlineLevel="0" collapsed="false">
      <c r="A15" s="45" t="s">
        <v>6</v>
      </c>
      <c r="B15" s="46" t="n">
        <v>13</v>
      </c>
      <c r="C15" s="47" t="n">
        <v>7.3</v>
      </c>
      <c r="D15" s="47" t="n">
        <v>8.1</v>
      </c>
      <c r="E15" s="47" t="n">
        <v>9.2</v>
      </c>
      <c r="F15" s="47" t="n">
        <v>10.4</v>
      </c>
      <c r="G15" s="47" t="n">
        <v>11.6</v>
      </c>
      <c r="H15" s="47" t="n">
        <v>70.3</v>
      </c>
      <c r="I15" s="47" t="n">
        <v>72.5</v>
      </c>
      <c r="J15" s="47" t="n">
        <v>75.2</v>
      </c>
      <c r="K15" s="47" t="n">
        <v>77.9</v>
      </c>
      <c r="L15" s="47" t="n">
        <v>80.2</v>
      </c>
      <c r="M15" s="47" t="n">
        <v>13.8</v>
      </c>
      <c r="N15" s="47" t="n">
        <v>14.8</v>
      </c>
      <c r="O15" s="47" t="n">
        <v>16.2</v>
      </c>
      <c r="P15" s="47" t="n">
        <v>17.8</v>
      </c>
      <c r="Q15" s="47" t="n">
        <v>19.2</v>
      </c>
    </row>
    <row r="16" customFormat="false" ht="13.5" hidden="false" customHeight="true" outlineLevel="0" collapsed="false">
      <c r="A16" s="45" t="s">
        <v>6</v>
      </c>
      <c r="B16" s="46" t="n">
        <v>14</v>
      </c>
      <c r="C16" s="47" t="n">
        <v>7.5</v>
      </c>
      <c r="D16" s="47" t="n">
        <v>8.3</v>
      </c>
      <c r="E16" s="47" t="n">
        <v>9.4</v>
      </c>
      <c r="F16" s="47" t="n">
        <v>10.7</v>
      </c>
      <c r="G16" s="47" t="n">
        <v>11.9</v>
      </c>
      <c r="H16" s="47" t="n">
        <v>71.3</v>
      </c>
      <c r="I16" s="47" t="n">
        <v>73.6</v>
      </c>
      <c r="J16" s="47" t="n">
        <v>76.4</v>
      </c>
      <c r="K16" s="47" t="n">
        <v>79.2</v>
      </c>
      <c r="L16" s="47" t="n">
        <v>81.4</v>
      </c>
      <c r="M16" s="47" t="n">
        <v>13.7</v>
      </c>
      <c r="N16" s="47" t="n">
        <v>14.7</v>
      </c>
      <c r="O16" s="47" t="n">
        <v>16.1</v>
      </c>
      <c r="P16" s="47" t="n">
        <v>17.7</v>
      </c>
      <c r="Q16" s="47" t="n">
        <v>19.1</v>
      </c>
    </row>
    <row r="17" customFormat="false" ht="13.5" hidden="false" customHeight="true" outlineLevel="0" collapsed="false">
      <c r="A17" s="45" t="s">
        <v>6</v>
      </c>
      <c r="B17" s="46" t="n">
        <v>15</v>
      </c>
      <c r="C17" s="47" t="n">
        <v>7.7</v>
      </c>
      <c r="D17" s="47" t="n">
        <v>8.5</v>
      </c>
      <c r="E17" s="47" t="n">
        <v>9.6</v>
      </c>
      <c r="F17" s="47" t="n">
        <v>10.9</v>
      </c>
      <c r="G17" s="47" t="n">
        <v>12.2</v>
      </c>
      <c r="H17" s="47" t="n">
        <v>72.4</v>
      </c>
      <c r="I17" s="47" t="n">
        <v>74.7</v>
      </c>
      <c r="J17" s="47" t="n">
        <v>77.5</v>
      </c>
      <c r="K17" s="47" t="n">
        <v>80.3</v>
      </c>
      <c r="L17" s="47" t="n">
        <v>82.7</v>
      </c>
      <c r="M17" s="47" t="n">
        <v>13.7</v>
      </c>
      <c r="N17" s="47" t="n">
        <v>14.6</v>
      </c>
      <c r="O17" s="47" t="n">
        <v>16</v>
      </c>
      <c r="P17" s="47" t="n">
        <v>17.5</v>
      </c>
      <c r="Q17" s="47" t="n">
        <v>19</v>
      </c>
    </row>
    <row r="18" customFormat="false" ht="13.5" hidden="false" customHeight="true" outlineLevel="0" collapsed="false">
      <c r="A18" s="45" t="s">
        <v>6</v>
      </c>
      <c r="B18" s="46" t="n">
        <v>16</v>
      </c>
      <c r="C18" s="47" t="n">
        <v>7.8</v>
      </c>
      <c r="D18" s="47" t="n">
        <v>8.7</v>
      </c>
      <c r="E18" s="47" t="n">
        <v>9.8</v>
      </c>
      <c r="F18" s="47" t="n">
        <v>11.2</v>
      </c>
      <c r="G18" s="47" t="n">
        <v>12.5</v>
      </c>
      <c r="H18" s="47" t="n">
        <v>73.3</v>
      </c>
      <c r="I18" s="47" t="n">
        <v>75.7</v>
      </c>
      <c r="J18" s="47" t="n">
        <v>78.6</v>
      </c>
      <c r="K18" s="47" t="n">
        <v>81.5</v>
      </c>
      <c r="L18" s="47" t="n">
        <v>83.9</v>
      </c>
      <c r="M18" s="47" t="n">
        <v>13.6</v>
      </c>
      <c r="N18" s="47" t="n">
        <v>14.6</v>
      </c>
      <c r="O18" s="47" t="n">
        <v>15.9</v>
      </c>
      <c r="P18" s="47" t="n">
        <v>17.4</v>
      </c>
      <c r="Q18" s="47" t="n">
        <v>18.8</v>
      </c>
    </row>
    <row r="19" customFormat="false" ht="13.5" hidden="false" customHeight="true" outlineLevel="0" collapsed="false">
      <c r="A19" s="45" t="s">
        <v>6</v>
      </c>
      <c r="B19" s="46" t="n">
        <v>17</v>
      </c>
      <c r="C19" s="47" t="n">
        <v>8</v>
      </c>
      <c r="D19" s="47" t="n">
        <v>8.8</v>
      </c>
      <c r="E19" s="47" t="n">
        <v>10</v>
      </c>
      <c r="F19" s="47" t="n">
        <v>11.4</v>
      </c>
      <c r="G19" s="47" t="n">
        <v>12.7</v>
      </c>
      <c r="H19" s="47" t="n">
        <v>74.3</v>
      </c>
      <c r="I19" s="47" t="n">
        <v>76.7</v>
      </c>
      <c r="J19" s="47" t="n">
        <v>79.7</v>
      </c>
      <c r="K19" s="47" t="n">
        <v>82.6</v>
      </c>
      <c r="L19" s="47" t="n">
        <v>85</v>
      </c>
      <c r="M19" s="47" t="n">
        <v>13.5</v>
      </c>
      <c r="N19" s="47" t="n">
        <v>14.5</v>
      </c>
      <c r="O19" s="47" t="n">
        <v>15.8</v>
      </c>
      <c r="P19" s="47" t="n">
        <v>17.3</v>
      </c>
      <c r="Q19" s="47" t="n">
        <v>18.7</v>
      </c>
    </row>
    <row r="20" customFormat="false" ht="13.5" hidden="false" customHeight="true" outlineLevel="0" collapsed="false">
      <c r="A20" s="45" t="s">
        <v>6</v>
      </c>
      <c r="B20" s="46" t="n">
        <v>18</v>
      </c>
      <c r="C20" s="47" t="n">
        <v>8.2</v>
      </c>
      <c r="D20" s="47" t="n">
        <v>9</v>
      </c>
      <c r="E20" s="47" t="n">
        <v>10.2</v>
      </c>
      <c r="F20" s="47" t="n">
        <v>11.6</v>
      </c>
      <c r="G20" s="47" t="n">
        <v>13</v>
      </c>
      <c r="H20" s="47" t="n">
        <v>75.2</v>
      </c>
      <c r="I20" s="47" t="n">
        <v>77.7</v>
      </c>
      <c r="J20" s="47" t="n">
        <v>80.7</v>
      </c>
      <c r="K20" s="47" t="n">
        <v>83.7</v>
      </c>
      <c r="L20" s="47" t="n">
        <v>86.2</v>
      </c>
      <c r="M20" s="47" t="n">
        <v>13.4</v>
      </c>
      <c r="N20" s="47" t="n">
        <v>14.4</v>
      </c>
      <c r="O20" s="47" t="n">
        <v>15.7</v>
      </c>
      <c r="P20" s="47" t="n">
        <v>17.2</v>
      </c>
      <c r="Q20" s="47" t="n">
        <v>18.6</v>
      </c>
    </row>
    <row r="21" customFormat="false" ht="13.5" hidden="false" customHeight="true" outlineLevel="0" collapsed="false">
      <c r="A21" s="45" t="s">
        <v>6</v>
      </c>
      <c r="B21" s="46" t="n">
        <v>19</v>
      </c>
      <c r="C21" s="47" t="n">
        <v>8.3</v>
      </c>
      <c r="D21" s="47" t="n">
        <v>9.2</v>
      </c>
      <c r="E21" s="47" t="n">
        <v>10.4</v>
      </c>
      <c r="F21" s="47" t="n">
        <v>11.9</v>
      </c>
      <c r="G21" s="47" t="n">
        <v>13.3</v>
      </c>
      <c r="H21" s="47" t="n">
        <v>76.2</v>
      </c>
      <c r="I21" s="47" t="n">
        <v>78.7</v>
      </c>
      <c r="J21" s="47" t="n">
        <v>81.7</v>
      </c>
      <c r="K21" s="47" t="n">
        <v>84.8</v>
      </c>
      <c r="L21" s="47" t="n">
        <v>87.3</v>
      </c>
      <c r="M21" s="47" t="n">
        <v>13.4</v>
      </c>
      <c r="N21" s="47" t="n">
        <v>14.3</v>
      </c>
      <c r="O21" s="47" t="n">
        <v>15.7</v>
      </c>
      <c r="P21" s="47" t="n">
        <v>17.2</v>
      </c>
      <c r="Q21" s="47" t="n">
        <v>18.5</v>
      </c>
    </row>
    <row r="22" customFormat="false" ht="13.5" hidden="false" customHeight="true" outlineLevel="0" collapsed="false">
      <c r="A22" s="45" t="s">
        <v>6</v>
      </c>
      <c r="B22" s="46" t="n">
        <v>20</v>
      </c>
      <c r="C22" s="47" t="n">
        <v>8.5</v>
      </c>
      <c r="D22" s="47" t="n">
        <v>9.4</v>
      </c>
      <c r="E22" s="47" t="n">
        <v>10.6</v>
      </c>
      <c r="F22" s="47" t="n">
        <v>12.1</v>
      </c>
      <c r="G22" s="47" t="n">
        <v>13.5</v>
      </c>
      <c r="H22" s="47" t="n">
        <v>77</v>
      </c>
      <c r="I22" s="47" t="n">
        <v>79.6</v>
      </c>
      <c r="J22" s="47" t="n">
        <v>82.7</v>
      </c>
      <c r="K22" s="47" t="n">
        <v>85.8</v>
      </c>
      <c r="L22" s="47" t="n">
        <v>88.4</v>
      </c>
      <c r="M22" s="47" t="n">
        <v>13.3</v>
      </c>
      <c r="N22" s="47" t="n">
        <v>14.3</v>
      </c>
      <c r="O22" s="47" t="n">
        <v>15.6</v>
      </c>
      <c r="P22" s="47" t="n">
        <v>17.1</v>
      </c>
      <c r="Q22" s="47" t="n">
        <v>18.5</v>
      </c>
    </row>
    <row r="23" customFormat="false" ht="13.5" hidden="false" customHeight="true" outlineLevel="0" collapsed="false">
      <c r="A23" s="45" t="s">
        <v>6</v>
      </c>
      <c r="B23" s="46" t="n">
        <v>21</v>
      </c>
      <c r="C23" s="47" t="n">
        <v>8.7</v>
      </c>
      <c r="D23" s="47" t="n">
        <v>9.6</v>
      </c>
      <c r="E23" s="47" t="n">
        <v>10.9</v>
      </c>
      <c r="F23" s="47" t="n">
        <v>12.4</v>
      </c>
      <c r="G23" s="47" t="n">
        <v>13.8</v>
      </c>
      <c r="H23" s="47" t="n">
        <v>77.9</v>
      </c>
      <c r="I23" s="47" t="n">
        <v>80.5</v>
      </c>
      <c r="J23" s="47" t="n">
        <v>83.7</v>
      </c>
      <c r="K23" s="47" t="n">
        <v>86.8</v>
      </c>
      <c r="L23" s="47" t="n">
        <v>89.4</v>
      </c>
      <c r="M23" s="47" t="n">
        <v>13.3</v>
      </c>
      <c r="N23" s="47" t="n">
        <v>14.2</v>
      </c>
      <c r="O23" s="47" t="n">
        <v>15.5</v>
      </c>
      <c r="P23" s="47" t="n">
        <v>17</v>
      </c>
      <c r="Q23" s="47" t="n">
        <v>18.4</v>
      </c>
    </row>
    <row r="24" customFormat="false" ht="13.5" hidden="false" customHeight="true" outlineLevel="0" collapsed="false">
      <c r="A24" s="45" t="s">
        <v>6</v>
      </c>
      <c r="B24" s="46" t="n">
        <v>22</v>
      </c>
      <c r="C24" s="47" t="n">
        <v>8.8</v>
      </c>
      <c r="D24" s="47" t="n">
        <v>9.8</v>
      </c>
      <c r="E24" s="47" t="n">
        <v>11.1</v>
      </c>
      <c r="F24" s="47" t="n">
        <v>12.6</v>
      </c>
      <c r="G24" s="47" t="n">
        <v>14.1</v>
      </c>
      <c r="H24" s="47" t="n">
        <v>78.7</v>
      </c>
      <c r="I24" s="47" t="n">
        <v>81.4</v>
      </c>
      <c r="J24" s="47" t="n">
        <v>84.6</v>
      </c>
      <c r="K24" s="47" t="n">
        <v>87.8</v>
      </c>
      <c r="L24" s="47" t="n">
        <v>90.5</v>
      </c>
      <c r="M24" s="47" t="n">
        <v>13.3</v>
      </c>
      <c r="N24" s="47" t="n">
        <v>14.2</v>
      </c>
      <c r="O24" s="47" t="n">
        <v>15.5</v>
      </c>
      <c r="P24" s="47" t="n">
        <v>17</v>
      </c>
      <c r="Q24" s="47" t="n">
        <v>18.3</v>
      </c>
    </row>
    <row r="25" customFormat="false" ht="13.5" hidden="false" customHeight="true" outlineLevel="0" collapsed="false">
      <c r="A25" s="45" t="s">
        <v>6</v>
      </c>
      <c r="B25" s="46" t="n">
        <v>23</v>
      </c>
      <c r="C25" s="47" t="n">
        <v>9</v>
      </c>
      <c r="D25" s="47" t="n">
        <v>9.9</v>
      </c>
      <c r="E25" s="47" t="n">
        <v>11.3</v>
      </c>
      <c r="F25" s="47" t="n">
        <v>12.8</v>
      </c>
      <c r="G25" s="47" t="n">
        <v>14.3</v>
      </c>
      <c r="H25" s="47" t="n">
        <v>79.6</v>
      </c>
      <c r="I25" s="47" t="n">
        <v>82.2</v>
      </c>
      <c r="J25" s="47" t="n">
        <v>85.5</v>
      </c>
      <c r="K25" s="47" t="n">
        <v>88.8</v>
      </c>
      <c r="L25" s="47" t="n">
        <v>91.5</v>
      </c>
      <c r="M25" s="47" t="n">
        <v>13.2</v>
      </c>
      <c r="N25" s="47" t="n">
        <v>14.2</v>
      </c>
      <c r="O25" s="47" t="n">
        <v>15.4</v>
      </c>
      <c r="P25" s="47" t="n">
        <v>16.9</v>
      </c>
      <c r="Q25" s="47" t="n">
        <v>18.3</v>
      </c>
    </row>
    <row r="26" customFormat="false" ht="13.5" hidden="false" customHeight="true" outlineLevel="0" collapsed="false">
      <c r="A26" s="45" t="s">
        <v>6</v>
      </c>
      <c r="B26" s="46" t="n">
        <v>24</v>
      </c>
      <c r="C26" s="47" t="n">
        <v>9.2</v>
      </c>
      <c r="D26" s="47" t="n">
        <v>10.1</v>
      </c>
      <c r="E26" s="47" t="n">
        <v>11.5</v>
      </c>
      <c r="F26" s="47" t="n">
        <v>13.1</v>
      </c>
      <c r="G26" s="47" t="n">
        <v>14.6</v>
      </c>
      <c r="H26" s="47" t="n">
        <v>80.3</v>
      </c>
      <c r="I26" s="47" t="n">
        <v>83.1</v>
      </c>
      <c r="J26" s="47" t="n">
        <v>86.4</v>
      </c>
      <c r="K26" s="47" t="n">
        <v>89.8</v>
      </c>
      <c r="L26" s="47" t="n">
        <v>92.5</v>
      </c>
      <c r="M26" s="47" t="n">
        <v>13.2</v>
      </c>
      <c r="N26" s="47" t="n">
        <v>14.1</v>
      </c>
      <c r="O26" s="47" t="n">
        <v>15.4</v>
      </c>
      <c r="P26" s="47" t="n">
        <v>16.9</v>
      </c>
      <c r="Q26" s="47" t="n">
        <v>18.2</v>
      </c>
    </row>
    <row r="27" customFormat="false" ht="14.25" hidden="false" customHeight="true" outlineLevel="0" collapsed="false">
      <c r="A27" s="45" t="s">
        <v>6</v>
      </c>
      <c r="B27" s="47" t="n">
        <v>25</v>
      </c>
      <c r="C27" s="47" t="n">
        <v>9.3</v>
      </c>
      <c r="D27" s="47" t="n">
        <v>10.3</v>
      </c>
      <c r="E27" s="47" t="n">
        <v>11.7</v>
      </c>
      <c r="F27" s="47" t="n">
        <v>13.3</v>
      </c>
      <c r="G27" s="47" t="n">
        <v>14.9</v>
      </c>
      <c r="H27" s="47" t="n">
        <v>80.4</v>
      </c>
      <c r="I27" s="47" t="n">
        <v>83.2</v>
      </c>
      <c r="J27" s="47" t="n">
        <v>86.6</v>
      </c>
      <c r="K27" s="47" t="n">
        <v>90</v>
      </c>
      <c r="L27" s="47" t="n">
        <v>92.8</v>
      </c>
      <c r="M27" s="47" t="n">
        <v>13.4</v>
      </c>
      <c r="N27" s="47" t="n">
        <v>14.4</v>
      </c>
      <c r="O27" s="47" t="n">
        <v>15.7</v>
      </c>
      <c r="P27" s="47" t="n">
        <v>17.1</v>
      </c>
      <c r="Q27" s="47" t="n">
        <v>18.5</v>
      </c>
    </row>
    <row r="28" customFormat="false" ht="14.25" hidden="false" customHeight="true" outlineLevel="0" collapsed="false">
      <c r="A28" s="45" t="s">
        <v>6</v>
      </c>
      <c r="B28" s="47" t="n">
        <v>26</v>
      </c>
      <c r="C28" s="47" t="n">
        <v>9.5</v>
      </c>
      <c r="D28" s="47" t="n">
        <v>10.5</v>
      </c>
      <c r="E28" s="47" t="n">
        <v>11.9</v>
      </c>
      <c r="F28" s="47" t="n">
        <v>13.6</v>
      </c>
      <c r="G28" s="47" t="n">
        <v>15.2</v>
      </c>
      <c r="H28" s="47" t="n">
        <v>81.2</v>
      </c>
      <c r="I28" s="47" t="n">
        <v>84</v>
      </c>
      <c r="J28" s="47" t="n">
        <v>87.4</v>
      </c>
      <c r="K28" s="47" t="n">
        <v>90.9</v>
      </c>
      <c r="L28" s="47" t="n">
        <v>93.7</v>
      </c>
      <c r="M28" s="47" t="n">
        <v>13.4</v>
      </c>
      <c r="N28" s="47" t="n">
        <v>14.4</v>
      </c>
      <c r="O28" s="47" t="n">
        <v>15.6</v>
      </c>
      <c r="P28" s="47" t="n">
        <v>17.1</v>
      </c>
      <c r="Q28" s="47" t="n">
        <v>18.5</v>
      </c>
    </row>
    <row r="29" customFormat="false" ht="14.25" hidden="false" customHeight="true" outlineLevel="0" collapsed="false">
      <c r="A29" s="45" t="s">
        <v>6</v>
      </c>
      <c r="B29" s="47" t="n">
        <v>27</v>
      </c>
      <c r="C29" s="47" t="n">
        <v>9.6</v>
      </c>
      <c r="D29" s="47" t="n">
        <v>10.7</v>
      </c>
      <c r="E29" s="47" t="n">
        <v>12.1</v>
      </c>
      <c r="F29" s="47" t="n">
        <v>13.8</v>
      </c>
      <c r="G29" s="47" t="n">
        <v>15.4</v>
      </c>
      <c r="H29" s="47" t="n">
        <v>81.9</v>
      </c>
      <c r="I29" s="47" t="n">
        <v>84.8</v>
      </c>
      <c r="J29" s="47" t="n">
        <v>88.3</v>
      </c>
      <c r="K29" s="47" t="n">
        <v>91.8</v>
      </c>
      <c r="L29" s="47" t="n">
        <v>94.6</v>
      </c>
      <c r="M29" s="47" t="n">
        <v>13.4</v>
      </c>
      <c r="N29" s="47" t="n">
        <v>14.3</v>
      </c>
      <c r="O29" s="47" t="n">
        <v>15.6</v>
      </c>
      <c r="P29" s="47" t="n">
        <v>17.1</v>
      </c>
      <c r="Q29" s="47" t="n">
        <v>18.4</v>
      </c>
    </row>
    <row r="30" customFormat="false" ht="14.25" hidden="false" customHeight="true" outlineLevel="0" collapsed="false">
      <c r="A30" s="45" t="s">
        <v>6</v>
      </c>
      <c r="B30" s="47" t="n">
        <v>28</v>
      </c>
      <c r="C30" s="47" t="n">
        <v>9.8</v>
      </c>
      <c r="D30" s="47" t="n">
        <v>10.8</v>
      </c>
      <c r="E30" s="47" t="n">
        <v>12.3</v>
      </c>
      <c r="F30" s="47" t="n">
        <v>14</v>
      </c>
      <c r="G30" s="47" t="n">
        <v>15.7</v>
      </c>
      <c r="H30" s="47" t="n">
        <v>82.6</v>
      </c>
      <c r="I30" s="47" t="n">
        <v>85.5</v>
      </c>
      <c r="J30" s="47" t="n">
        <v>89.1</v>
      </c>
      <c r="K30" s="47" t="n">
        <v>92.7</v>
      </c>
      <c r="L30" s="47" t="n">
        <v>95.6</v>
      </c>
      <c r="M30" s="47" t="n">
        <v>13.4</v>
      </c>
      <c r="N30" s="47" t="n">
        <v>14.3</v>
      </c>
      <c r="O30" s="47" t="n">
        <v>15.6</v>
      </c>
      <c r="P30" s="47" t="n">
        <v>17</v>
      </c>
      <c r="Q30" s="47" t="n">
        <v>18.4</v>
      </c>
    </row>
    <row r="31" customFormat="false" ht="14.25" hidden="false" customHeight="true" outlineLevel="0" collapsed="false">
      <c r="A31" s="45" t="s">
        <v>6</v>
      </c>
      <c r="B31" s="47" t="n">
        <v>29</v>
      </c>
      <c r="C31" s="47" t="n">
        <v>10</v>
      </c>
      <c r="D31" s="47" t="n">
        <v>11</v>
      </c>
      <c r="E31" s="47" t="n">
        <v>12.5</v>
      </c>
      <c r="F31" s="47" t="n">
        <v>14.3</v>
      </c>
      <c r="G31" s="47" t="n">
        <v>16</v>
      </c>
      <c r="H31" s="47" t="n">
        <v>83.4</v>
      </c>
      <c r="I31" s="47" t="n">
        <v>86.3</v>
      </c>
      <c r="J31" s="47" t="n">
        <v>89.9</v>
      </c>
      <c r="K31" s="47" t="n">
        <v>93.5</v>
      </c>
      <c r="L31" s="47" t="n">
        <v>96.4</v>
      </c>
      <c r="M31" s="47" t="n">
        <v>13.4</v>
      </c>
      <c r="N31" s="47" t="n">
        <v>14.3</v>
      </c>
      <c r="O31" s="47" t="n">
        <v>15.6</v>
      </c>
      <c r="P31" s="47" t="n">
        <v>17</v>
      </c>
      <c r="Q31" s="47" t="n">
        <v>18.4</v>
      </c>
    </row>
    <row r="32" customFormat="false" ht="14.25" hidden="false" customHeight="true" outlineLevel="0" collapsed="false">
      <c r="A32" s="45" t="s">
        <v>6</v>
      </c>
      <c r="B32" s="47" t="n">
        <v>30</v>
      </c>
      <c r="C32" s="47" t="n">
        <v>10.1</v>
      </c>
      <c r="D32" s="47" t="n">
        <v>11.2</v>
      </c>
      <c r="E32" s="47" t="n">
        <v>12.7</v>
      </c>
      <c r="F32" s="47" t="n">
        <v>14.5</v>
      </c>
      <c r="G32" s="47" t="n">
        <v>16.2</v>
      </c>
      <c r="H32" s="47" t="n">
        <v>84</v>
      </c>
      <c r="I32" s="47" t="n">
        <v>87</v>
      </c>
      <c r="J32" s="47" t="n">
        <v>90.7</v>
      </c>
      <c r="K32" s="47" t="n">
        <v>94.3</v>
      </c>
      <c r="L32" s="47" t="n">
        <v>97.3</v>
      </c>
      <c r="M32" s="47" t="n">
        <v>13.3</v>
      </c>
      <c r="N32" s="47" t="n">
        <v>14.3</v>
      </c>
      <c r="O32" s="47" t="n">
        <v>15.5</v>
      </c>
      <c r="P32" s="47" t="n">
        <v>17</v>
      </c>
      <c r="Q32" s="47" t="n">
        <v>18.3</v>
      </c>
    </row>
    <row r="33" customFormat="false" ht="14.25" hidden="false" customHeight="true" outlineLevel="0" collapsed="false">
      <c r="A33" s="45" t="s">
        <v>6</v>
      </c>
      <c r="B33" s="47" t="n">
        <v>31</v>
      </c>
      <c r="C33" s="47" t="n">
        <v>10.3</v>
      </c>
      <c r="D33" s="47" t="n">
        <v>11.3</v>
      </c>
      <c r="E33" s="47" t="n">
        <v>12.9</v>
      </c>
      <c r="F33" s="47" t="n">
        <v>14.7</v>
      </c>
      <c r="G33" s="47" t="n">
        <v>16.5</v>
      </c>
      <c r="H33" s="47" t="n">
        <v>84.7</v>
      </c>
      <c r="I33" s="47" t="n">
        <v>87.7</v>
      </c>
      <c r="J33" s="47" t="n">
        <v>91.4</v>
      </c>
      <c r="K33" s="47" t="n">
        <v>95.2</v>
      </c>
      <c r="L33" s="47" t="n">
        <v>98.2</v>
      </c>
      <c r="M33" s="47" t="n">
        <v>13.3</v>
      </c>
      <c r="N33" s="47" t="n">
        <v>14.2</v>
      </c>
      <c r="O33" s="47" t="n">
        <v>15.5</v>
      </c>
      <c r="P33" s="47" t="n">
        <v>17</v>
      </c>
      <c r="Q33" s="47" t="n">
        <v>18.3</v>
      </c>
    </row>
    <row r="34" customFormat="false" ht="14.25" hidden="false" customHeight="true" outlineLevel="0" collapsed="false">
      <c r="A34" s="45" t="s">
        <v>6</v>
      </c>
      <c r="B34" s="47" t="n">
        <v>32</v>
      </c>
      <c r="C34" s="47" t="n">
        <v>10.4</v>
      </c>
      <c r="D34" s="47" t="n">
        <v>11.5</v>
      </c>
      <c r="E34" s="47" t="n">
        <v>13.1</v>
      </c>
      <c r="F34" s="47" t="n">
        <v>15</v>
      </c>
      <c r="G34" s="47" t="n">
        <v>16.8</v>
      </c>
      <c r="H34" s="47" t="n">
        <v>85.4</v>
      </c>
      <c r="I34" s="47" t="n">
        <v>88.4</v>
      </c>
      <c r="J34" s="47" t="n">
        <v>92.2</v>
      </c>
      <c r="K34" s="47" t="n">
        <v>95.9</v>
      </c>
      <c r="L34" s="47" t="n">
        <v>99</v>
      </c>
      <c r="M34" s="47" t="n">
        <v>13.3</v>
      </c>
      <c r="N34" s="47" t="n">
        <v>14.2</v>
      </c>
      <c r="O34" s="47" t="n">
        <v>15.5</v>
      </c>
      <c r="P34" s="47" t="n">
        <v>16.9</v>
      </c>
      <c r="Q34" s="47" t="n">
        <v>18.3</v>
      </c>
    </row>
    <row r="35" customFormat="false" ht="14.25" hidden="false" customHeight="true" outlineLevel="0" collapsed="false">
      <c r="A35" s="45" t="s">
        <v>6</v>
      </c>
      <c r="B35" s="47" t="n">
        <v>33</v>
      </c>
      <c r="C35" s="47" t="n">
        <v>10.5</v>
      </c>
      <c r="D35" s="47" t="n">
        <v>11.7</v>
      </c>
      <c r="E35" s="47" t="n">
        <v>13.3</v>
      </c>
      <c r="F35" s="47" t="n">
        <v>15.2</v>
      </c>
      <c r="G35" s="47" t="n">
        <v>17</v>
      </c>
      <c r="H35" s="47" t="n">
        <v>86</v>
      </c>
      <c r="I35" s="47" t="n">
        <v>89.1</v>
      </c>
      <c r="J35" s="47" t="n">
        <v>92.9</v>
      </c>
      <c r="K35" s="47" t="n">
        <v>96.7</v>
      </c>
      <c r="L35" s="47" t="n">
        <v>99.8</v>
      </c>
      <c r="M35" s="47" t="n">
        <v>13.3</v>
      </c>
      <c r="N35" s="47" t="n">
        <v>14.2</v>
      </c>
      <c r="O35" s="47" t="n">
        <v>15.5</v>
      </c>
      <c r="P35" s="47" t="n">
        <v>16.9</v>
      </c>
      <c r="Q35" s="47" t="n">
        <v>18.3</v>
      </c>
    </row>
    <row r="36" customFormat="false" ht="14.25" hidden="false" customHeight="true" outlineLevel="0" collapsed="false">
      <c r="A36" s="45" t="s">
        <v>6</v>
      </c>
      <c r="B36" s="47" t="n">
        <v>34</v>
      </c>
      <c r="C36" s="47" t="n">
        <v>10.7</v>
      </c>
      <c r="D36" s="47" t="n">
        <v>11.8</v>
      </c>
      <c r="E36" s="47" t="n">
        <v>13.5</v>
      </c>
      <c r="F36" s="47" t="n">
        <v>15.4</v>
      </c>
      <c r="G36" s="47" t="n">
        <v>17.3</v>
      </c>
      <c r="H36" s="47" t="n">
        <v>86.7</v>
      </c>
      <c r="I36" s="47" t="n">
        <v>89.8</v>
      </c>
      <c r="J36" s="47" t="n">
        <v>93.6</v>
      </c>
      <c r="K36" s="47" t="n">
        <v>97.5</v>
      </c>
      <c r="L36" s="47" t="n">
        <v>100.6</v>
      </c>
      <c r="M36" s="47" t="n">
        <v>13.2</v>
      </c>
      <c r="N36" s="47" t="n">
        <v>14.2</v>
      </c>
      <c r="O36" s="47" t="n">
        <v>15.4</v>
      </c>
      <c r="P36" s="47" t="n">
        <v>16.9</v>
      </c>
      <c r="Q36" s="47" t="n">
        <v>18.2</v>
      </c>
    </row>
    <row r="37" customFormat="false" ht="14.25" hidden="false" customHeight="true" outlineLevel="0" collapsed="false">
      <c r="A37" s="45" t="s">
        <v>6</v>
      </c>
      <c r="B37" s="47" t="n">
        <v>35</v>
      </c>
      <c r="C37" s="47" t="n">
        <v>10.8</v>
      </c>
      <c r="D37" s="47" t="n">
        <v>12</v>
      </c>
      <c r="E37" s="47" t="n">
        <v>13.7</v>
      </c>
      <c r="F37" s="47" t="n">
        <v>15.7</v>
      </c>
      <c r="G37" s="47" t="n">
        <v>17.6</v>
      </c>
      <c r="H37" s="47" t="n">
        <v>87.3</v>
      </c>
      <c r="I37" s="47" t="n">
        <v>90.5</v>
      </c>
      <c r="J37" s="47" t="n">
        <v>94.4</v>
      </c>
      <c r="K37" s="47" t="n">
        <v>98.3</v>
      </c>
      <c r="L37" s="47" t="n">
        <v>101.4</v>
      </c>
      <c r="M37" s="47" t="n">
        <v>13.2</v>
      </c>
      <c r="N37" s="47" t="n">
        <v>14.1</v>
      </c>
      <c r="O37" s="47" t="n">
        <v>15.4</v>
      </c>
      <c r="P37" s="47" t="n">
        <v>16.9</v>
      </c>
      <c r="Q37" s="47" t="n">
        <v>18.2</v>
      </c>
    </row>
    <row r="38" customFormat="false" ht="14.25" hidden="false" customHeight="true" outlineLevel="0" collapsed="false">
      <c r="A38" s="45" t="s">
        <v>6</v>
      </c>
      <c r="B38" s="47" t="n">
        <v>36</v>
      </c>
      <c r="C38" s="47" t="n">
        <v>11</v>
      </c>
      <c r="D38" s="47" t="n">
        <v>12.1</v>
      </c>
      <c r="E38" s="47" t="n">
        <v>13.9</v>
      </c>
      <c r="F38" s="47" t="n">
        <v>15.9</v>
      </c>
      <c r="G38" s="47" t="n">
        <v>17.8</v>
      </c>
      <c r="H38" s="47" t="n">
        <v>87.9</v>
      </c>
      <c r="I38" s="47" t="n">
        <v>91.1</v>
      </c>
      <c r="J38" s="47" t="n">
        <v>95.1</v>
      </c>
      <c r="K38" s="47" t="n">
        <v>99</v>
      </c>
      <c r="L38" s="47" t="n">
        <v>102.2</v>
      </c>
      <c r="M38" s="47" t="n">
        <v>13.2</v>
      </c>
      <c r="N38" s="47" t="n">
        <v>14.1</v>
      </c>
      <c r="O38" s="47" t="n">
        <v>15.4</v>
      </c>
      <c r="P38" s="47" t="n">
        <v>16.9</v>
      </c>
      <c r="Q38" s="47" t="n">
        <v>18.2</v>
      </c>
    </row>
    <row r="39" customFormat="false" ht="14.25" hidden="false" customHeight="true" outlineLevel="0" collapsed="false">
      <c r="A39" s="45" t="s">
        <v>6</v>
      </c>
      <c r="B39" s="47" t="n">
        <v>37</v>
      </c>
      <c r="C39" s="47" t="n">
        <v>11.1</v>
      </c>
      <c r="D39" s="47" t="n">
        <v>12.3</v>
      </c>
      <c r="E39" s="47" t="n">
        <v>14</v>
      </c>
      <c r="F39" s="47" t="n">
        <v>16.1</v>
      </c>
      <c r="G39" s="47" t="n">
        <v>18.1</v>
      </c>
      <c r="H39" s="47" t="n">
        <v>88.5</v>
      </c>
      <c r="I39" s="47" t="n">
        <v>91.7</v>
      </c>
      <c r="J39" s="47" t="n">
        <v>95.7</v>
      </c>
      <c r="K39" s="47" t="n">
        <v>99.7</v>
      </c>
      <c r="L39" s="47" t="n">
        <v>103</v>
      </c>
      <c r="M39" s="47" t="n">
        <v>13.2</v>
      </c>
      <c r="N39" s="47" t="n">
        <v>14.1</v>
      </c>
      <c r="O39" s="47" t="n">
        <v>15.4</v>
      </c>
      <c r="P39" s="47" t="n">
        <v>16.8</v>
      </c>
      <c r="Q39" s="47" t="n">
        <v>18.2</v>
      </c>
    </row>
    <row r="40" customFormat="false" ht="14.25" hidden="false" customHeight="true" outlineLevel="0" collapsed="false">
      <c r="A40" s="45" t="s">
        <v>6</v>
      </c>
      <c r="B40" s="47" t="n">
        <v>38</v>
      </c>
      <c r="C40" s="47" t="n">
        <v>11.2</v>
      </c>
      <c r="D40" s="47" t="n">
        <v>12.5</v>
      </c>
      <c r="E40" s="47" t="n">
        <v>14.2</v>
      </c>
      <c r="F40" s="47" t="n">
        <v>16.3</v>
      </c>
      <c r="G40" s="47" t="n">
        <v>18.4</v>
      </c>
      <c r="H40" s="47" t="n">
        <v>89.1</v>
      </c>
      <c r="I40" s="47" t="n">
        <v>92.4</v>
      </c>
      <c r="J40" s="47" t="n">
        <v>96.4</v>
      </c>
      <c r="K40" s="47" t="n">
        <v>100.5</v>
      </c>
      <c r="L40" s="47" t="n">
        <v>103.7</v>
      </c>
      <c r="M40" s="47" t="n">
        <v>13.2</v>
      </c>
      <c r="N40" s="47" t="n">
        <v>14.1</v>
      </c>
      <c r="O40" s="47" t="n">
        <v>15.4</v>
      </c>
      <c r="P40" s="47" t="n">
        <v>16.8</v>
      </c>
      <c r="Q40" s="47" t="n">
        <v>18.2</v>
      </c>
    </row>
    <row r="41" customFormat="false" ht="14.25" hidden="false" customHeight="true" outlineLevel="0" collapsed="false">
      <c r="A41" s="45" t="s">
        <v>6</v>
      </c>
      <c r="B41" s="47" t="n">
        <v>39</v>
      </c>
      <c r="C41" s="47" t="n">
        <v>11.4</v>
      </c>
      <c r="D41" s="47" t="n">
        <v>12.6</v>
      </c>
      <c r="E41" s="47" t="n">
        <v>14.4</v>
      </c>
      <c r="F41" s="47" t="n">
        <v>16.6</v>
      </c>
      <c r="G41" s="47" t="n">
        <v>18.6</v>
      </c>
      <c r="H41" s="47" t="n">
        <v>89.7</v>
      </c>
      <c r="I41" s="47" t="n">
        <v>93</v>
      </c>
      <c r="J41" s="47" t="n">
        <v>97.1</v>
      </c>
      <c r="K41" s="47" t="n">
        <v>101.2</v>
      </c>
      <c r="L41" s="47" t="n">
        <v>104.5</v>
      </c>
      <c r="M41" s="47" t="n">
        <v>13.1</v>
      </c>
      <c r="N41" s="47" t="n">
        <v>14.1</v>
      </c>
      <c r="O41" s="47" t="n">
        <v>15.3</v>
      </c>
      <c r="P41" s="47" t="n">
        <v>16.8</v>
      </c>
      <c r="Q41" s="47" t="n">
        <v>18.2</v>
      </c>
    </row>
    <row r="42" customFormat="false" ht="14.25" hidden="false" customHeight="true" outlineLevel="0" collapsed="false">
      <c r="A42" s="45" t="s">
        <v>6</v>
      </c>
      <c r="B42" s="47" t="n">
        <v>40</v>
      </c>
      <c r="C42" s="47" t="n">
        <v>11.5</v>
      </c>
      <c r="D42" s="47" t="n">
        <v>12.8</v>
      </c>
      <c r="E42" s="47" t="n">
        <v>14.6</v>
      </c>
      <c r="F42" s="47" t="n">
        <v>16.8</v>
      </c>
      <c r="G42" s="47" t="n">
        <v>18.9</v>
      </c>
      <c r="H42" s="47" t="n">
        <v>90.3</v>
      </c>
      <c r="I42" s="47" t="n">
        <v>93.6</v>
      </c>
      <c r="J42" s="47" t="n">
        <v>97.7</v>
      </c>
      <c r="K42" s="47" t="n">
        <v>101.9</v>
      </c>
      <c r="L42" s="47" t="n">
        <v>105.2</v>
      </c>
      <c r="M42" s="47" t="n">
        <v>13.1</v>
      </c>
      <c r="N42" s="47" t="n">
        <v>14</v>
      </c>
      <c r="O42" s="47" t="n">
        <v>15.3</v>
      </c>
      <c r="P42" s="47" t="n">
        <v>16.8</v>
      </c>
      <c r="Q42" s="47" t="n">
        <v>18.2</v>
      </c>
    </row>
    <row r="43" customFormat="false" ht="14.25" hidden="false" customHeight="true" outlineLevel="0" collapsed="false">
      <c r="A43" s="45" t="s">
        <v>6</v>
      </c>
      <c r="B43" s="47" t="n">
        <v>41</v>
      </c>
      <c r="C43" s="47" t="n">
        <v>11.6</v>
      </c>
      <c r="D43" s="47" t="n">
        <v>12.9</v>
      </c>
      <c r="E43" s="47" t="n">
        <v>14.8</v>
      </c>
      <c r="F43" s="47" t="n">
        <v>17</v>
      </c>
      <c r="G43" s="47" t="n">
        <v>19.2</v>
      </c>
      <c r="H43" s="47" t="n">
        <v>90.8</v>
      </c>
      <c r="I43" s="47" t="n">
        <v>94.2</v>
      </c>
      <c r="J43" s="47" t="n">
        <v>98.4</v>
      </c>
      <c r="K43" s="47" t="n">
        <v>102.6</v>
      </c>
      <c r="L43" s="47" t="n">
        <v>106</v>
      </c>
      <c r="M43" s="47" t="n">
        <v>13.1</v>
      </c>
      <c r="N43" s="47" t="n">
        <v>14</v>
      </c>
      <c r="O43" s="47" t="n">
        <v>15.3</v>
      </c>
      <c r="P43" s="47" t="n">
        <v>16.8</v>
      </c>
      <c r="Q43" s="47" t="n">
        <v>18.2</v>
      </c>
    </row>
    <row r="44" customFormat="false" ht="14.25" hidden="false" customHeight="true" outlineLevel="0" collapsed="false">
      <c r="A44" s="45" t="s">
        <v>6</v>
      </c>
      <c r="B44" s="47" t="n">
        <v>42</v>
      </c>
      <c r="C44" s="47" t="n">
        <v>11.8</v>
      </c>
      <c r="D44" s="47" t="n">
        <v>13.1</v>
      </c>
      <c r="E44" s="47" t="n">
        <v>15</v>
      </c>
      <c r="F44" s="47" t="n">
        <v>17.3</v>
      </c>
      <c r="G44" s="47" t="n">
        <v>19.5</v>
      </c>
      <c r="H44" s="47" t="n">
        <v>91.4</v>
      </c>
      <c r="I44" s="47" t="n">
        <v>94.8</v>
      </c>
      <c r="J44" s="47" t="n">
        <v>99</v>
      </c>
      <c r="K44" s="47" t="n">
        <v>103.3</v>
      </c>
      <c r="L44" s="47" t="n">
        <v>106.7</v>
      </c>
      <c r="M44" s="47" t="n">
        <v>13.1</v>
      </c>
      <c r="N44" s="47" t="n">
        <v>14</v>
      </c>
      <c r="O44" s="47" t="n">
        <v>15.3</v>
      </c>
      <c r="P44" s="47" t="n">
        <v>16.8</v>
      </c>
      <c r="Q44" s="47" t="n">
        <v>18.2</v>
      </c>
    </row>
    <row r="45" customFormat="false" ht="14.25" hidden="false" customHeight="true" outlineLevel="0" collapsed="false">
      <c r="A45" s="45" t="s">
        <v>6</v>
      </c>
      <c r="B45" s="47" t="n">
        <v>43</v>
      </c>
      <c r="C45" s="47" t="n">
        <v>11.9</v>
      </c>
      <c r="D45" s="47" t="n">
        <v>13.2</v>
      </c>
      <c r="E45" s="47" t="n">
        <v>15.2</v>
      </c>
      <c r="F45" s="47" t="n">
        <v>17.5</v>
      </c>
      <c r="G45" s="47" t="n">
        <v>19.7</v>
      </c>
      <c r="H45" s="47" t="n">
        <v>92</v>
      </c>
      <c r="I45" s="47" t="n">
        <v>95.4</v>
      </c>
      <c r="J45" s="47" t="n">
        <v>99.7</v>
      </c>
      <c r="K45" s="47" t="n">
        <v>103.9</v>
      </c>
      <c r="L45" s="47" t="n">
        <v>107.4</v>
      </c>
      <c r="M45" s="47" t="n">
        <v>13</v>
      </c>
      <c r="N45" s="47" t="n">
        <v>14</v>
      </c>
      <c r="O45" s="47" t="n">
        <v>15.3</v>
      </c>
      <c r="P45" s="47" t="n">
        <v>16.8</v>
      </c>
      <c r="Q45" s="47" t="n">
        <v>18.2</v>
      </c>
    </row>
    <row r="46" customFormat="false" ht="14.25" hidden="false" customHeight="true" outlineLevel="0" collapsed="false">
      <c r="A46" s="45" t="s">
        <v>6</v>
      </c>
      <c r="B46" s="47" t="n">
        <v>44</v>
      </c>
      <c r="C46" s="47" t="n">
        <v>12</v>
      </c>
      <c r="D46" s="47" t="n">
        <v>13.4</v>
      </c>
      <c r="E46" s="47" t="n">
        <v>15.3</v>
      </c>
      <c r="F46" s="47" t="n">
        <v>17.7</v>
      </c>
      <c r="G46" s="47" t="n">
        <v>20</v>
      </c>
      <c r="H46" s="47" t="n">
        <v>92.5</v>
      </c>
      <c r="I46" s="47" t="n">
        <v>96</v>
      </c>
      <c r="J46" s="47" t="n">
        <v>100.3</v>
      </c>
      <c r="K46" s="47" t="n">
        <v>104.6</v>
      </c>
      <c r="L46" s="47" t="n">
        <v>108.1</v>
      </c>
      <c r="M46" s="47" t="n">
        <v>13</v>
      </c>
      <c r="N46" s="47" t="n">
        <v>14</v>
      </c>
      <c r="O46" s="47" t="n">
        <v>15.3</v>
      </c>
      <c r="P46" s="47" t="n">
        <v>16.8</v>
      </c>
      <c r="Q46" s="47" t="n">
        <v>18.2</v>
      </c>
    </row>
    <row r="47" customFormat="false" ht="14.25" hidden="false" customHeight="true" outlineLevel="0" collapsed="false">
      <c r="A47" s="45" t="s">
        <v>6</v>
      </c>
      <c r="B47" s="47" t="n">
        <v>45</v>
      </c>
      <c r="C47" s="47" t="n">
        <v>12.1</v>
      </c>
      <c r="D47" s="47" t="n">
        <v>13.5</v>
      </c>
      <c r="E47" s="47" t="n">
        <v>15.5</v>
      </c>
      <c r="F47" s="47" t="n">
        <v>17.9</v>
      </c>
      <c r="G47" s="47" t="n">
        <v>20.3</v>
      </c>
      <c r="H47" s="47" t="n">
        <v>93</v>
      </c>
      <c r="I47" s="47" t="n">
        <v>96.6</v>
      </c>
      <c r="J47" s="47" t="n">
        <v>100.9</v>
      </c>
      <c r="K47" s="47" t="n">
        <v>105.3</v>
      </c>
      <c r="L47" s="47" t="n">
        <v>108.8</v>
      </c>
      <c r="M47" s="47" t="n">
        <v>13</v>
      </c>
      <c r="N47" s="47" t="n">
        <v>14</v>
      </c>
      <c r="O47" s="47" t="n">
        <v>15.3</v>
      </c>
      <c r="P47" s="47" t="n">
        <v>16.8</v>
      </c>
      <c r="Q47" s="47" t="n">
        <v>18.3</v>
      </c>
    </row>
    <row r="48" customFormat="false" ht="14.25" hidden="false" customHeight="true" outlineLevel="0" collapsed="false">
      <c r="A48" s="45" t="s">
        <v>6</v>
      </c>
      <c r="B48" s="47" t="n">
        <v>46</v>
      </c>
      <c r="C48" s="47" t="n">
        <v>12.3</v>
      </c>
      <c r="D48" s="47" t="n">
        <v>13.7</v>
      </c>
      <c r="E48" s="47" t="n">
        <v>15.7</v>
      </c>
      <c r="F48" s="47" t="n">
        <v>18.2</v>
      </c>
      <c r="G48" s="47" t="n">
        <v>20.6</v>
      </c>
      <c r="H48" s="47" t="n">
        <v>93.6</v>
      </c>
      <c r="I48" s="47" t="n">
        <v>97.2</v>
      </c>
      <c r="J48" s="47" t="n">
        <v>101.5</v>
      </c>
      <c r="K48" s="47" t="n">
        <v>105.9</v>
      </c>
      <c r="L48" s="47" t="n">
        <v>109.5</v>
      </c>
      <c r="M48" s="47" t="n">
        <v>13</v>
      </c>
      <c r="N48" s="47" t="n">
        <v>13.9</v>
      </c>
      <c r="O48" s="47" t="n">
        <v>15.3</v>
      </c>
      <c r="P48" s="47" t="n">
        <v>16.8</v>
      </c>
      <c r="Q48" s="47" t="n">
        <v>18.3</v>
      </c>
    </row>
    <row r="49" customFormat="false" ht="14.25" hidden="false" customHeight="true" outlineLevel="0" collapsed="false">
      <c r="A49" s="45" t="s">
        <v>6</v>
      </c>
      <c r="B49" s="47" t="n">
        <v>47</v>
      </c>
      <c r="C49" s="47" t="n">
        <v>12.4</v>
      </c>
      <c r="D49" s="47" t="n">
        <v>13.8</v>
      </c>
      <c r="E49" s="47" t="n">
        <v>15.9</v>
      </c>
      <c r="F49" s="47" t="n">
        <v>18.4</v>
      </c>
      <c r="G49" s="47" t="n">
        <v>20.8</v>
      </c>
      <c r="H49" s="47" t="n">
        <v>94.1</v>
      </c>
      <c r="I49" s="47" t="n">
        <v>97.7</v>
      </c>
      <c r="J49" s="47" t="n">
        <v>102.1</v>
      </c>
      <c r="K49" s="47" t="n">
        <v>106.6</v>
      </c>
      <c r="L49" s="47" t="n">
        <v>110.2</v>
      </c>
      <c r="M49" s="47" t="n">
        <v>13</v>
      </c>
      <c r="N49" s="47" t="n">
        <v>13.9</v>
      </c>
      <c r="O49" s="47" t="n">
        <v>15.3</v>
      </c>
      <c r="P49" s="47" t="n">
        <v>16.8</v>
      </c>
      <c r="Q49" s="47" t="n">
        <v>18.3</v>
      </c>
    </row>
    <row r="50" customFormat="false" ht="14.25" hidden="false" customHeight="true" outlineLevel="0" collapsed="false">
      <c r="A50" s="45" t="s">
        <v>6</v>
      </c>
      <c r="B50" s="47" t="n">
        <v>48</v>
      </c>
      <c r="C50" s="47" t="n">
        <v>12.5</v>
      </c>
      <c r="D50" s="47" t="n">
        <v>14</v>
      </c>
      <c r="E50" s="47" t="n">
        <v>16.1</v>
      </c>
      <c r="F50" s="47" t="n">
        <v>18.6</v>
      </c>
      <c r="G50" s="47" t="n">
        <v>21.1</v>
      </c>
      <c r="H50" s="47" t="n">
        <v>94.6</v>
      </c>
      <c r="I50" s="47" t="n">
        <v>98.3</v>
      </c>
      <c r="J50" s="47" t="n">
        <v>102.7</v>
      </c>
      <c r="K50" s="47" t="n">
        <v>107.2</v>
      </c>
      <c r="L50" s="47" t="n">
        <v>110.8</v>
      </c>
      <c r="M50" s="47" t="n">
        <v>12.9</v>
      </c>
      <c r="N50" s="47" t="n">
        <v>13.9</v>
      </c>
      <c r="O50" s="47" t="n">
        <v>15.3</v>
      </c>
      <c r="P50" s="47" t="n">
        <v>16.8</v>
      </c>
      <c r="Q50" s="47" t="n">
        <v>18.3</v>
      </c>
    </row>
    <row r="51" customFormat="false" ht="14.25" hidden="false" customHeight="true" outlineLevel="0" collapsed="false">
      <c r="A51" s="45" t="s">
        <v>6</v>
      </c>
      <c r="B51" s="47" t="n">
        <v>49</v>
      </c>
      <c r="C51" s="47" t="n">
        <v>12.6</v>
      </c>
      <c r="D51" s="47" t="n">
        <v>14.1</v>
      </c>
      <c r="E51" s="47" t="n">
        <v>16.3</v>
      </c>
      <c r="F51" s="47" t="n">
        <v>18.9</v>
      </c>
      <c r="G51" s="47" t="n">
        <v>21.4</v>
      </c>
      <c r="H51" s="47" t="n">
        <v>95.1</v>
      </c>
      <c r="I51" s="47" t="n">
        <v>98.8</v>
      </c>
      <c r="J51" s="47" t="n">
        <v>103.3</v>
      </c>
      <c r="K51" s="47" t="n">
        <v>107.8</v>
      </c>
      <c r="L51" s="47" t="n">
        <v>111.5</v>
      </c>
      <c r="M51" s="47" t="n">
        <v>12.9</v>
      </c>
      <c r="N51" s="47" t="n">
        <v>13.9</v>
      </c>
      <c r="O51" s="47" t="n">
        <v>15.3</v>
      </c>
      <c r="P51" s="47" t="n">
        <v>16.8</v>
      </c>
      <c r="Q51" s="47" t="n">
        <v>18.3</v>
      </c>
    </row>
    <row r="52" customFormat="false" ht="14.25" hidden="false" customHeight="true" outlineLevel="0" collapsed="false">
      <c r="A52" s="45" t="s">
        <v>6</v>
      </c>
      <c r="B52" s="47" t="n">
        <v>50</v>
      </c>
      <c r="C52" s="47" t="n">
        <v>12.8</v>
      </c>
      <c r="D52" s="47" t="n">
        <v>14.3</v>
      </c>
      <c r="E52" s="47" t="n">
        <v>16.4</v>
      </c>
      <c r="F52" s="47" t="n">
        <v>19.1</v>
      </c>
      <c r="G52" s="47" t="n">
        <v>21.7</v>
      </c>
      <c r="H52" s="47" t="n">
        <v>95.7</v>
      </c>
      <c r="I52" s="47" t="n">
        <v>99.4</v>
      </c>
      <c r="J52" s="47" t="n">
        <v>103.9</v>
      </c>
      <c r="K52" s="47" t="n">
        <v>108.4</v>
      </c>
      <c r="L52" s="47" t="n">
        <v>112.1</v>
      </c>
      <c r="M52" s="47" t="n">
        <v>12.9</v>
      </c>
      <c r="N52" s="47" t="n">
        <v>13.9</v>
      </c>
      <c r="O52" s="47" t="n">
        <v>15.3</v>
      </c>
      <c r="P52" s="47" t="n">
        <v>16.8</v>
      </c>
      <c r="Q52" s="47" t="n">
        <v>18.3</v>
      </c>
    </row>
    <row r="53" customFormat="false" ht="14.25" hidden="false" customHeight="true" outlineLevel="0" collapsed="false">
      <c r="A53" s="45" t="s">
        <v>6</v>
      </c>
      <c r="B53" s="47" t="n">
        <v>51</v>
      </c>
      <c r="C53" s="47" t="n">
        <v>12.9</v>
      </c>
      <c r="D53" s="47" t="n">
        <v>14.4</v>
      </c>
      <c r="E53" s="47" t="n">
        <v>16.6</v>
      </c>
      <c r="F53" s="47" t="n">
        <v>19.3</v>
      </c>
      <c r="G53" s="47" t="n">
        <v>22</v>
      </c>
      <c r="H53" s="47" t="n">
        <v>96.2</v>
      </c>
      <c r="I53" s="47" t="n">
        <v>99.9</v>
      </c>
      <c r="J53" s="47" t="n">
        <v>104.5</v>
      </c>
      <c r="K53" s="47" t="n">
        <v>109.1</v>
      </c>
      <c r="L53" s="47" t="n">
        <v>112.8</v>
      </c>
      <c r="M53" s="47" t="n">
        <v>12.9</v>
      </c>
      <c r="N53" s="47" t="n">
        <v>13.9</v>
      </c>
      <c r="O53" s="47" t="n">
        <v>15.3</v>
      </c>
      <c r="P53" s="47" t="n">
        <v>16.8</v>
      </c>
      <c r="Q53" s="47" t="n">
        <v>18.4</v>
      </c>
    </row>
    <row r="54" customFormat="false" ht="14.25" hidden="false" customHeight="true" outlineLevel="0" collapsed="false">
      <c r="A54" s="45" t="s">
        <v>6</v>
      </c>
      <c r="B54" s="47" t="n">
        <v>52</v>
      </c>
      <c r="C54" s="47" t="n">
        <v>13</v>
      </c>
      <c r="D54" s="47" t="n">
        <v>14.5</v>
      </c>
      <c r="E54" s="47" t="n">
        <v>16.8</v>
      </c>
      <c r="F54" s="47" t="n">
        <v>19.5</v>
      </c>
      <c r="G54" s="47" t="n">
        <v>22.2</v>
      </c>
      <c r="H54" s="47" t="n">
        <v>96.7</v>
      </c>
      <c r="I54" s="47" t="n">
        <v>100.4</v>
      </c>
      <c r="J54" s="47" t="n">
        <v>105</v>
      </c>
      <c r="K54" s="47" t="n">
        <v>109.7</v>
      </c>
      <c r="L54" s="47" t="n">
        <v>113.4</v>
      </c>
      <c r="M54" s="47" t="n">
        <v>12.9</v>
      </c>
      <c r="N54" s="47" t="n">
        <v>13.9</v>
      </c>
      <c r="O54" s="47" t="n">
        <v>15.2</v>
      </c>
      <c r="P54" s="47" t="n">
        <v>16.9</v>
      </c>
      <c r="Q54" s="47" t="n">
        <v>18.4</v>
      </c>
    </row>
    <row r="55" customFormat="false" ht="14.25" hidden="false" customHeight="true" outlineLevel="0" collapsed="false">
      <c r="A55" s="45" t="s">
        <v>6</v>
      </c>
      <c r="B55" s="47" t="n">
        <v>53</v>
      </c>
      <c r="C55" s="47" t="n">
        <v>13.1</v>
      </c>
      <c r="D55" s="47" t="n">
        <v>14.7</v>
      </c>
      <c r="E55" s="47" t="n">
        <v>17</v>
      </c>
      <c r="F55" s="47" t="n">
        <v>19.8</v>
      </c>
      <c r="G55" s="47" t="n">
        <v>22.5</v>
      </c>
      <c r="H55" s="47" t="n">
        <v>97.2</v>
      </c>
      <c r="I55" s="47" t="n">
        <v>101</v>
      </c>
      <c r="J55" s="47" t="n">
        <v>105.6</v>
      </c>
      <c r="K55" s="47" t="n">
        <v>110.3</v>
      </c>
      <c r="L55" s="47" t="n">
        <v>114.1</v>
      </c>
      <c r="M55" s="47" t="n">
        <v>12.9</v>
      </c>
      <c r="N55" s="47" t="n">
        <v>13.9</v>
      </c>
      <c r="O55" s="47" t="n">
        <v>15.3</v>
      </c>
      <c r="P55" s="47" t="n">
        <v>16.9</v>
      </c>
      <c r="Q55" s="47" t="n">
        <v>18.4</v>
      </c>
    </row>
    <row r="56" customFormat="false" ht="14.25" hidden="false" customHeight="true" outlineLevel="0" collapsed="false">
      <c r="A56" s="45" t="s">
        <v>6</v>
      </c>
      <c r="B56" s="47" t="n">
        <v>54</v>
      </c>
      <c r="C56" s="47" t="n">
        <v>13.2</v>
      </c>
      <c r="D56" s="47" t="n">
        <v>14.8</v>
      </c>
      <c r="E56" s="47" t="n">
        <v>17.2</v>
      </c>
      <c r="F56" s="47" t="n">
        <v>20</v>
      </c>
      <c r="G56" s="47" t="n">
        <v>22.8</v>
      </c>
      <c r="H56" s="47" t="n">
        <v>97.6</v>
      </c>
      <c r="I56" s="47" t="n">
        <v>101.5</v>
      </c>
      <c r="J56" s="47" t="n">
        <v>106.2</v>
      </c>
      <c r="K56" s="47" t="n">
        <v>110.9</v>
      </c>
      <c r="L56" s="47" t="n">
        <v>114.7</v>
      </c>
      <c r="M56" s="47" t="n">
        <v>12.9</v>
      </c>
      <c r="N56" s="47" t="n">
        <v>13.9</v>
      </c>
      <c r="O56" s="47" t="n">
        <v>15.3</v>
      </c>
      <c r="P56" s="47" t="n">
        <v>16.9</v>
      </c>
      <c r="Q56" s="47" t="n">
        <v>18.4</v>
      </c>
    </row>
    <row r="57" customFormat="false" ht="14.25" hidden="false" customHeight="true" outlineLevel="0" collapsed="false">
      <c r="A57" s="45" t="s">
        <v>6</v>
      </c>
      <c r="B57" s="47" t="n">
        <v>55</v>
      </c>
      <c r="C57" s="47" t="n">
        <v>13.4</v>
      </c>
      <c r="D57" s="47" t="n">
        <v>15</v>
      </c>
      <c r="E57" s="47" t="n">
        <v>17.3</v>
      </c>
      <c r="F57" s="47" t="n">
        <v>20.2</v>
      </c>
      <c r="G57" s="47" t="n">
        <v>23.1</v>
      </c>
      <c r="H57" s="47" t="n">
        <v>98.1</v>
      </c>
      <c r="I57" s="47" t="n">
        <v>102</v>
      </c>
      <c r="J57" s="47" t="n">
        <v>106.7</v>
      </c>
      <c r="K57" s="47" t="n">
        <v>111.5</v>
      </c>
      <c r="L57" s="47" t="n">
        <v>115.3</v>
      </c>
      <c r="M57" s="47" t="n">
        <v>12.9</v>
      </c>
      <c r="N57" s="47" t="n">
        <v>13.9</v>
      </c>
      <c r="O57" s="47" t="n">
        <v>15.3</v>
      </c>
      <c r="P57" s="47" t="n">
        <v>16.9</v>
      </c>
      <c r="Q57" s="47" t="n">
        <v>18.4</v>
      </c>
    </row>
    <row r="58" customFormat="false" ht="14.25" hidden="false" customHeight="true" outlineLevel="0" collapsed="false">
      <c r="A58" s="45" t="s">
        <v>6</v>
      </c>
      <c r="B58" s="47" t="n">
        <v>56</v>
      </c>
      <c r="C58" s="47" t="n">
        <v>13.5</v>
      </c>
      <c r="D58" s="47" t="n">
        <v>15.1</v>
      </c>
      <c r="E58" s="47" t="n">
        <v>17.5</v>
      </c>
      <c r="F58" s="47" t="n">
        <v>20.4</v>
      </c>
      <c r="G58" s="47" t="n">
        <v>23.3</v>
      </c>
      <c r="H58" s="47" t="n">
        <v>98.6</v>
      </c>
      <c r="I58" s="47" t="n">
        <v>102.5</v>
      </c>
      <c r="J58" s="47" t="n">
        <v>107.3</v>
      </c>
      <c r="K58" s="47" t="n">
        <v>112.1</v>
      </c>
      <c r="L58" s="47" t="n">
        <v>116</v>
      </c>
      <c r="M58" s="47" t="n">
        <v>12.8</v>
      </c>
      <c r="N58" s="47" t="n">
        <v>13.8</v>
      </c>
      <c r="O58" s="47" t="n">
        <v>15.3</v>
      </c>
      <c r="P58" s="47" t="n">
        <v>16.9</v>
      </c>
      <c r="Q58" s="47" t="n">
        <v>18.5</v>
      </c>
    </row>
    <row r="59" customFormat="false" ht="14.25" hidden="false" customHeight="true" outlineLevel="0" collapsed="false">
      <c r="A59" s="45" t="s">
        <v>6</v>
      </c>
      <c r="B59" s="47" t="n">
        <v>57</v>
      </c>
      <c r="C59" s="47" t="n">
        <v>13.6</v>
      </c>
      <c r="D59" s="47" t="n">
        <v>15.3</v>
      </c>
      <c r="E59" s="47" t="n">
        <v>17.7</v>
      </c>
      <c r="F59" s="47" t="n">
        <v>20.7</v>
      </c>
      <c r="G59" s="47" t="n">
        <v>23.6</v>
      </c>
      <c r="H59" s="47" t="n">
        <v>99.1</v>
      </c>
      <c r="I59" s="47" t="n">
        <v>103</v>
      </c>
      <c r="J59" s="47" t="n">
        <v>107.8</v>
      </c>
      <c r="K59" s="47" t="n">
        <v>112.6</v>
      </c>
      <c r="L59" s="47" t="n">
        <v>116.6</v>
      </c>
      <c r="M59" s="47" t="n">
        <v>12.8</v>
      </c>
      <c r="N59" s="47" t="n">
        <v>13.8</v>
      </c>
      <c r="O59" s="47" t="n">
        <v>15.3</v>
      </c>
      <c r="P59" s="47" t="n">
        <v>16.9</v>
      </c>
      <c r="Q59" s="47" t="n">
        <v>18.5</v>
      </c>
    </row>
    <row r="60" customFormat="false" ht="14.25" hidden="false" customHeight="true" outlineLevel="0" collapsed="false">
      <c r="A60" s="45" t="s">
        <v>6</v>
      </c>
      <c r="B60" s="47" t="n">
        <v>58</v>
      </c>
      <c r="C60" s="47" t="n">
        <v>13.7</v>
      </c>
      <c r="D60" s="47" t="n">
        <v>15.4</v>
      </c>
      <c r="E60" s="47" t="n">
        <v>17.9</v>
      </c>
      <c r="F60" s="47" t="n">
        <v>20.9</v>
      </c>
      <c r="G60" s="47" t="n">
        <v>23.9</v>
      </c>
      <c r="H60" s="47" t="n">
        <v>99.6</v>
      </c>
      <c r="I60" s="47" t="n">
        <v>103.5</v>
      </c>
      <c r="J60" s="47" t="n">
        <v>108.4</v>
      </c>
      <c r="K60" s="47" t="n">
        <v>113.2</v>
      </c>
      <c r="L60" s="47" t="n">
        <v>117.2</v>
      </c>
      <c r="M60" s="47" t="n">
        <v>12.8</v>
      </c>
      <c r="N60" s="47" t="n">
        <v>13.8</v>
      </c>
      <c r="O60" s="47" t="n">
        <v>15.3</v>
      </c>
      <c r="P60" s="47" t="n">
        <v>16.9</v>
      </c>
      <c r="Q60" s="47" t="n">
        <v>18.5</v>
      </c>
    </row>
    <row r="61" customFormat="false" ht="14.25" hidden="false" customHeight="true" outlineLevel="0" collapsed="false">
      <c r="A61" s="45" t="s">
        <v>6</v>
      </c>
      <c r="B61" s="47" t="n">
        <v>59</v>
      </c>
      <c r="C61" s="47" t="n">
        <v>13.8</v>
      </c>
      <c r="D61" s="47" t="n">
        <v>15.5</v>
      </c>
      <c r="E61" s="47" t="n">
        <v>18</v>
      </c>
      <c r="F61" s="47" t="n">
        <v>21.1</v>
      </c>
      <c r="G61" s="47" t="n">
        <v>24.2</v>
      </c>
      <c r="H61" s="47" t="n">
        <v>100</v>
      </c>
      <c r="I61" s="47" t="n">
        <v>104</v>
      </c>
      <c r="J61" s="47" t="n">
        <v>108.9</v>
      </c>
      <c r="K61" s="47" t="n">
        <v>113.8</v>
      </c>
      <c r="L61" s="47" t="n">
        <v>117.8</v>
      </c>
      <c r="M61" s="47" t="n">
        <v>12.8</v>
      </c>
      <c r="N61" s="47" t="n">
        <v>13.8</v>
      </c>
      <c r="O61" s="47" t="n">
        <v>15.3</v>
      </c>
      <c r="P61" s="47" t="n">
        <v>16.9</v>
      </c>
      <c r="Q61" s="47" t="n">
        <v>18.5</v>
      </c>
    </row>
    <row r="62" customFormat="false" ht="14.25" hidden="false" customHeight="true" outlineLevel="0" collapsed="false">
      <c r="A62" s="45" t="s">
        <v>6</v>
      </c>
      <c r="B62" s="47" t="n">
        <v>60</v>
      </c>
      <c r="C62" s="47" t="n">
        <v>14</v>
      </c>
      <c r="D62" s="47" t="n">
        <v>15.7</v>
      </c>
      <c r="E62" s="47" t="n">
        <v>18.2</v>
      </c>
      <c r="F62" s="47" t="n">
        <v>21.3</v>
      </c>
      <c r="G62" s="47" t="n">
        <v>24.4</v>
      </c>
      <c r="H62" s="47" t="n">
        <v>100.5</v>
      </c>
      <c r="I62" s="47" t="n">
        <v>104.5</v>
      </c>
      <c r="J62" s="47" t="n">
        <v>109.4</v>
      </c>
      <c r="K62" s="47" t="n">
        <v>114.4</v>
      </c>
      <c r="L62" s="47" t="n">
        <v>118.4</v>
      </c>
      <c r="M62" s="47" t="n">
        <v>12.8</v>
      </c>
      <c r="N62" s="47" t="n">
        <v>13.8</v>
      </c>
      <c r="O62" s="47" t="n">
        <v>15.3</v>
      </c>
      <c r="P62" s="47" t="n">
        <v>17</v>
      </c>
      <c r="Q62" s="47" t="n">
        <v>18.6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927</TotalTime>
  <Application>LibreOffice/7.3.6.2$Windows_X86_64 LibreOffice_project/c28ca90fd6e1a19e189fc16c05f8f8924961e12e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2025-08-02T21:29:11Z</dcterms:created>
  <dc:creator>Tiago da Silva Martins</dc:creator>
  <dc:description/>
  <dc:language>pt-BR</dc:language>
  <cp:lastModifiedBy/>
  <dcterms:modified xsi:type="dcterms:W3CDTF">2026-06-05T08:41:38Z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